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DCD8CD7-194C-4277-AF58-B4F46EE537A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v7.0.0" sheetId="7" r:id="rId1"/>
    <sheet name="v6.0.0" sheetId="6" r:id="rId2"/>
    <sheet name="v5.0.0" sheetId="5" r:id="rId3"/>
    <sheet name="v4.0.0" sheetId="4" r:id="rId4"/>
    <sheet name="v3.0.0" sheetId="3" r:id="rId5"/>
    <sheet name="v2.0.0" sheetId="8" r:id="rId6"/>
    <sheet name="v1.0.0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7" i="7" l="1"/>
  <c r="I67" i="7"/>
  <c r="H67" i="7"/>
  <c r="G67" i="7"/>
  <c r="J66" i="7"/>
  <c r="I66" i="7"/>
  <c r="H66" i="7"/>
  <c r="G66" i="7"/>
  <c r="J64" i="7"/>
  <c r="I64" i="7"/>
  <c r="H64" i="7"/>
  <c r="G64" i="7"/>
  <c r="J63" i="7"/>
  <c r="I63" i="7"/>
  <c r="H63" i="7"/>
  <c r="G63" i="7"/>
  <c r="J61" i="7"/>
  <c r="I61" i="7"/>
  <c r="H61" i="7"/>
  <c r="G61" i="7"/>
  <c r="J60" i="7"/>
  <c r="I60" i="7"/>
  <c r="H60" i="7"/>
  <c r="G60" i="7"/>
  <c r="J67" i="6"/>
  <c r="I67" i="6"/>
  <c r="H67" i="6"/>
  <c r="G67" i="6"/>
  <c r="J66" i="6"/>
  <c r="I66" i="6"/>
  <c r="H66" i="6"/>
  <c r="G66" i="6"/>
  <c r="J64" i="6"/>
  <c r="I64" i="6"/>
  <c r="H64" i="6"/>
  <c r="G64" i="6"/>
  <c r="J63" i="6"/>
  <c r="I63" i="6"/>
  <c r="H63" i="6"/>
  <c r="G63" i="6"/>
  <c r="J61" i="6"/>
  <c r="I61" i="6"/>
  <c r="H61" i="6"/>
  <c r="G61" i="6"/>
  <c r="J60" i="6"/>
  <c r="I60" i="6"/>
  <c r="H60" i="6"/>
  <c r="G60" i="6"/>
  <c r="J67" i="3"/>
  <c r="I67" i="3"/>
  <c r="H67" i="3"/>
  <c r="G67" i="3"/>
  <c r="J66" i="3"/>
  <c r="I66" i="3"/>
  <c r="H66" i="3"/>
  <c r="G66" i="3"/>
  <c r="J64" i="3"/>
  <c r="I64" i="3"/>
  <c r="H64" i="3"/>
  <c r="G64" i="3"/>
  <c r="J63" i="3"/>
  <c r="I63" i="3"/>
  <c r="H63" i="3"/>
  <c r="G63" i="3"/>
  <c r="J61" i="3"/>
  <c r="I61" i="3"/>
  <c r="H61" i="3"/>
  <c r="G61" i="3"/>
  <c r="J60" i="3"/>
  <c r="I60" i="3"/>
  <c r="H60" i="3"/>
  <c r="G60" i="3"/>
  <c r="J67" i="8"/>
  <c r="I67" i="8"/>
  <c r="H67" i="8"/>
  <c r="G67" i="8"/>
  <c r="J66" i="8"/>
  <c r="I66" i="8"/>
  <c r="H66" i="8"/>
  <c r="G66" i="8"/>
  <c r="J64" i="8"/>
  <c r="I64" i="8"/>
  <c r="H64" i="8"/>
  <c r="G64" i="8"/>
  <c r="J63" i="8"/>
  <c r="I63" i="8"/>
  <c r="H63" i="8"/>
  <c r="G63" i="8"/>
  <c r="J61" i="8"/>
  <c r="I61" i="8"/>
  <c r="H61" i="8"/>
  <c r="G61" i="8"/>
  <c r="J60" i="8"/>
  <c r="I60" i="8"/>
  <c r="H60" i="8"/>
  <c r="G60" i="8"/>
  <c r="J95" i="5"/>
  <c r="I95" i="5"/>
  <c r="H95" i="5"/>
  <c r="G95" i="5"/>
  <c r="J94" i="5"/>
  <c r="I94" i="5"/>
  <c r="H94" i="5"/>
  <c r="G94" i="5"/>
  <c r="J92" i="5"/>
  <c r="I92" i="5"/>
  <c r="H92" i="5"/>
  <c r="G92" i="5"/>
  <c r="J91" i="5"/>
  <c r="I91" i="5"/>
  <c r="H91" i="5"/>
  <c r="G91" i="5"/>
  <c r="J89" i="5"/>
  <c r="I89" i="5"/>
  <c r="H89" i="5"/>
  <c r="G89" i="5"/>
  <c r="J88" i="5"/>
  <c r="I88" i="5"/>
  <c r="H88" i="5"/>
  <c r="G88" i="5"/>
  <c r="J82" i="5"/>
  <c r="I82" i="5"/>
  <c r="H82" i="5"/>
  <c r="G82" i="5"/>
  <c r="J81" i="5"/>
  <c r="I81" i="5"/>
  <c r="H81" i="5"/>
  <c r="G81" i="5"/>
  <c r="J79" i="5"/>
  <c r="I79" i="5"/>
  <c r="H79" i="5"/>
  <c r="G79" i="5"/>
  <c r="J78" i="5"/>
  <c r="I78" i="5"/>
  <c r="H78" i="5"/>
  <c r="G78" i="5"/>
  <c r="J76" i="5"/>
  <c r="I76" i="5"/>
  <c r="H76" i="5"/>
  <c r="G76" i="5"/>
  <c r="J75" i="5"/>
  <c r="I75" i="5"/>
  <c r="H75" i="5"/>
  <c r="G75" i="5"/>
  <c r="J95" i="4"/>
  <c r="I95" i="4"/>
  <c r="H95" i="4"/>
  <c r="G95" i="4"/>
  <c r="J94" i="4"/>
  <c r="I94" i="4"/>
  <c r="H94" i="4"/>
  <c r="G94" i="4"/>
  <c r="J92" i="4"/>
  <c r="I92" i="4"/>
  <c r="H92" i="4"/>
  <c r="G92" i="4"/>
  <c r="J91" i="4"/>
  <c r="I91" i="4"/>
  <c r="H91" i="4"/>
  <c r="G91" i="4"/>
  <c r="J89" i="4"/>
  <c r="I89" i="4"/>
  <c r="H89" i="4"/>
  <c r="G89" i="4"/>
  <c r="J88" i="4"/>
  <c r="I88" i="4"/>
  <c r="H88" i="4"/>
  <c r="G88" i="4"/>
  <c r="J82" i="4"/>
  <c r="I82" i="4"/>
  <c r="H82" i="4"/>
  <c r="G82" i="4"/>
  <c r="J81" i="4"/>
  <c r="I81" i="4"/>
  <c r="H81" i="4"/>
  <c r="G81" i="4"/>
  <c r="J79" i="4"/>
  <c r="I79" i="4"/>
  <c r="H79" i="4"/>
  <c r="G79" i="4"/>
  <c r="J78" i="4"/>
  <c r="I78" i="4"/>
  <c r="H78" i="4"/>
  <c r="G78" i="4"/>
  <c r="J76" i="4"/>
  <c r="I76" i="4"/>
  <c r="H76" i="4"/>
  <c r="G76" i="4"/>
  <c r="J75" i="4"/>
  <c r="I75" i="4"/>
  <c r="H75" i="4"/>
  <c r="G75" i="4"/>
  <c r="J66" i="9"/>
  <c r="I66" i="9"/>
  <c r="H66" i="9"/>
  <c r="G66" i="9"/>
  <c r="J65" i="9"/>
  <c r="I65" i="9"/>
  <c r="H65" i="9"/>
  <c r="G65" i="9"/>
  <c r="J63" i="9"/>
  <c r="I63" i="9"/>
  <c r="H63" i="9"/>
  <c r="G63" i="9"/>
  <c r="J62" i="9"/>
  <c r="I62" i="9"/>
  <c r="H62" i="9"/>
  <c r="G62" i="9"/>
  <c r="J60" i="9"/>
  <c r="I60" i="9"/>
  <c r="H60" i="9"/>
  <c r="G60" i="9"/>
  <c r="J59" i="9"/>
  <c r="I59" i="9"/>
  <c r="H59" i="9"/>
  <c r="G59" i="9"/>
  <c r="L44" i="8"/>
  <c r="M44" i="8"/>
  <c r="N44" i="8"/>
  <c r="O44" i="8"/>
  <c r="P44" i="8"/>
  <c r="L45" i="8"/>
  <c r="M45" i="8"/>
  <c r="N45" i="8"/>
  <c r="O45" i="8"/>
  <c r="P45" i="8"/>
  <c r="L47" i="8"/>
  <c r="M47" i="8"/>
  <c r="N47" i="8"/>
  <c r="O47" i="8"/>
  <c r="P47" i="8"/>
  <c r="L48" i="8"/>
  <c r="M48" i="8"/>
  <c r="N48" i="8"/>
  <c r="O48" i="8"/>
  <c r="P48" i="8"/>
  <c r="L50" i="8"/>
  <c r="M50" i="8"/>
  <c r="N50" i="8"/>
  <c r="O50" i="8"/>
  <c r="P50" i="8"/>
  <c r="L51" i="8"/>
  <c r="M51" i="8"/>
  <c r="N51" i="8"/>
  <c r="O51" i="8"/>
  <c r="P51" i="8"/>
  <c r="K51" i="8"/>
  <c r="K50" i="8"/>
  <c r="K48" i="8"/>
  <c r="K47" i="8"/>
  <c r="K45" i="8"/>
  <c r="K44" i="8"/>
  <c r="L31" i="8"/>
  <c r="M31" i="8"/>
  <c r="N31" i="8"/>
  <c r="O31" i="8"/>
  <c r="P31" i="8"/>
  <c r="L32" i="8"/>
  <c r="M32" i="8"/>
  <c r="N32" i="8"/>
  <c r="O32" i="8"/>
  <c r="P32" i="8"/>
  <c r="L34" i="8"/>
  <c r="M34" i="8"/>
  <c r="N34" i="8"/>
  <c r="O34" i="8"/>
  <c r="P34" i="8"/>
  <c r="L35" i="8"/>
  <c r="M35" i="8"/>
  <c r="N35" i="8"/>
  <c r="O35" i="8"/>
  <c r="P35" i="8"/>
  <c r="L37" i="8"/>
  <c r="M37" i="8"/>
  <c r="N37" i="8"/>
  <c r="O37" i="8"/>
  <c r="P37" i="8"/>
  <c r="L38" i="8"/>
  <c r="M38" i="8"/>
  <c r="N38" i="8"/>
  <c r="O38" i="8"/>
  <c r="P38" i="8"/>
  <c r="K38" i="8"/>
  <c r="K37" i="8"/>
  <c r="K35" i="8"/>
  <c r="K34" i="8"/>
  <c r="K32" i="8"/>
  <c r="K31" i="8"/>
  <c r="K19" i="8"/>
  <c r="L22" i="8"/>
  <c r="M22" i="8"/>
  <c r="N22" i="8"/>
  <c r="O22" i="8"/>
  <c r="P22" i="8"/>
  <c r="L23" i="8"/>
  <c r="M23" i="8"/>
  <c r="N23" i="8"/>
  <c r="O23" i="8"/>
  <c r="P23" i="8"/>
  <c r="L25" i="8"/>
  <c r="M25" i="8"/>
  <c r="N25" i="8"/>
  <c r="O25" i="8"/>
  <c r="P25" i="8"/>
  <c r="L26" i="8"/>
  <c r="M26" i="8"/>
  <c r="N26" i="8"/>
  <c r="O26" i="8"/>
  <c r="P26" i="8"/>
  <c r="L20" i="8"/>
  <c r="M20" i="8"/>
  <c r="N20" i="8"/>
  <c r="O20" i="8"/>
  <c r="P20" i="8"/>
  <c r="L19" i="8"/>
  <c r="M19" i="8"/>
  <c r="N19" i="8"/>
  <c r="O19" i="8"/>
  <c r="P19" i="8"/>
  <c r="K25" i="8"/>
  <c r="K23" i="8"/>
  <c r="K22" i="8"/>
  <c r="K20" i="8"/>
  <c r="K26" i="8"/>
  <c r="R38" i="8"/>
  <c r="S38" i="8"/>
  <c r="T38" i="8"/>
  <c r="U38" i="8"/>
  <c r="V38" i="8"/>
  <c r="Z38" i="8"/>
  <c r="AA38" i="8"/>
  <c r="AB38" i="8"/>
  <c r="AC38" i="8"/>
  <c r="AD38" i="8"/>
  <c r="AE38" i="8"/>
  <c r="AH38" i="8"/>
  <c r="AI38" i="8"/>
  <c r="AJ38" i="8"/>
  <c r="AK38" i="8"/>
  <c r="AL38" i="8"/>
  <c r="AM38" i="8"/>
  <c r="AP38" i="8"/>
  <c r="AQ38" i="8"/>
  <c r="AR38" i="8"/>
  <c r="AS38" i="8"/>
  <c r="AT38" i="8"/>
  <c r="AU38" i="8"/>
  <c r="R32" i="8"/>
  <c r="S32" i="8"/>
  <c r="T32" i="8"/>
  <c r="U32" i="8"/>
  <c r="V32" i="8"/>
  <c r="Z32" i="8"/>
  <c r="AA32" i="8"/>
  <c r="AB32" i="8"/>
  <c r="AC32" i="8"/>
  <c r="AD32" i="8"/>
  <c r="AE32" i="8"/>
  <c r="AH32" i="8"/>
  <c r="AI32" i="8"/>
  <c r="AJ32" i="8"/>
  <c r="AK32" i="8"/>
  <c r="AL32" i="8"/>
  <c r="AM32" i="8"/>
  <c r="AP32" i="8"/>
  <c r="AQ32" i="8"/>
  <c r="AR32" i="8"/>
  <c r="AS32" i="8"/>
  <c r="AT32" i="8"/>
  <c r="AU32" i="8"/>
  <c r="R26" i="8"/>
  <c r="S26" i="8"/>
  <c r="T26" i="8"/>
  <c r="U26" i="8"/>
  <c r="V26" i="8"/>
  <c r="Z26" i="8"/>
  <c r="AA26" i="8"/>
  <c r="AB26" i="8"/>
  <c r="AC26" i="8"/>
  <c r="AD26" i="8"/>
  <c r="AE26" i="8"/>
  <c r="AH26" i="8"/>
  <c r="AI26" i="8"/>
  <c r="AJ26" i="8"/>
  <c r="AK26" i="8"/>
  <c r="AL26" i="8"/>
  <c r="AM26" i="8"/>
  <c r="AP26" i="8"/>
  <c r="AQ26" i="8"/>
  <c r="AR26" i="8"/>
  <c r="AS26" i="8"/>
  <c r="AT26" i="8"/>
  <c r="AU26" i="8"/>
  <c r="R20" i="8"/>
  <c r="S20" i="8"/>
  <c r="T20" i="8"/>
  <c r="U20" i="8"/>
  <c r="V20" i="8"/>
  <c r="Z20" i="8"/>
  <c r="AA20" i="8"/>
  <c r="AB20" i="8"/>
  <c r="AC20" i="8"/>
  <c r="AD20" i="8"/>
  <c r="AE20" i="8"/>
  <c r="AH20" i="8"/>
  <c r="AI20" i="8"/>
  <c r="AJ20" i="8"/>
  <c r="AK20" i="8"/>
  <c r="AL20" i="8"/>
  <c r="AM20" i="8"/>
  <c r="AP20" i="8"/>
  <c r="AQ20" i="8"/>
  <c r="AR20" i="8"/>
  <c r="AS20" i="8"/>
  <c r="AT20" i="8"/>
  <c r="AU20" i="8"/>
  <c r="R14" i="8"/>
  <c r="S14" i="8"/>
  <c r="T14" i="8"/>
  <c r="U14" i="8"/>
  <c r="V14" i="8"/>
  <c r="Z14" i="8"/>
  <c r="AA14" i="8"/>
  <c r="AB14" i="8"/>
  <c r="AC14" i="8"/>
  <c r="AD14" i="8"/>
  <c r="AE14" i="8"/>
  <c r="AH14" i="8"/>
  <c r="AI14" i="8"/>
  <c r="AJ14" i="8"/>
  <c r="AK14" i="8"/>
  <c r="AL14" i="8"/>
  <c r="AM14" i="8"/>
  <c r="AP14" i="8"/>
  <c r="AQ14" i="8"/>
  <c r="AR14" i="8"/>
  <c r="AS14" i="8"/>
  <c r="AT14" i="8"/>
  <c r="AU14" i="8"/>
  <c r="R8" i="8"/>
  <c r="S8" i="8"/>
  <c r="T8" i="8"/>
  <c r="U8" i="8"/>
  <c r="V8" i="8"/>
  <c r="Z8" i="8"/>
  <c r="AA8" i="8"/>
  <c r="AB8" i="8"/>
  <c r="AC8" i="8"/>
  <c r="AD8" i="8"/>
  <c r="AE8" i="8"/>
  <c r="AH8" i="8"/>
  <c r="AI8" i="8"/>
  <c r="AJ8" i="8"/>
  <c r="AK8" i="8"/>
  <c r="AL8" i="8"/>
  <c r="AM8" i="8"/>
  <c r="AP8" i="8"/>
  <c r="AQ8" i="8"/>
  <c r="AR8" i="8"/>
  <c r="AS8" i="8"/>
  <c r="AT8" i="8"/>
  <c r="AU8" i="8"/>
  <c r="K9" i="8"/>
  <c r="L9" i="8"/>
  <c r="M9" i="8"/>
  <c r="N9" i="8"/>
  <c r="O9" i="8"/>
  <c r="K10" i="8"/>
  <c r="L10" i="8"/>
  <c r="M10" i="8"/>
  <c r="N10" i="8"/>
  <c r="O10" i="8"/>
  <c r="K12" i="8"/>
  <c r="L12" i="8"/>
  <c r="M12" i="8"/>
  <c r="N12" i="8"/>
  <c r="O12" i="8"/>
  <c r="K13" i="8"/>
  <c r="L13" i="8"/>
  <c r="M13" i="8"/>
  <c r="N13" i="8"/>
  <c r="O13" i="8"/>
  <c r="Q38" i="8"/>
  <c r="P13" i="8" s="1"/>
  <c r="Q32" i="8"/>
  <c r="P12" i="8" s="1"/>
  <c r="Q26" i="8"/>
  <c r="P10" i="8" s="1"/>
  <c r="Q20" i="8"/>
  <c r="P9" i="8" s="1"/>
  <c r="K7" i="8"/>
  <c r="L7" i="8"/>
  <c r="M7" i="8"/>
  <c r="N7" i="8"/>
  <c r="O7" i="8"/>
  <c r="Q14" i="8"/>
  <c r="P7" i="8" s="1"/>
  <c r="Q8" i="8"/>
  <c r="P6" i="8" s="1"/>
  <c r="K6" i="8"/>
  <c r="L6" i="8"/>
  <c r="M6" i="8"/>
  <c r="N6" i="8"/>
  <c r="O6" i="8"/>
  <c r="I6" i="8"/>
  <c r="G51" i="9"/>
  <c r="H51" i="9"/>
  <c r="I51" i="9"/>
  <c r="J51" i="9"/>
  <c r="G52" i="9"/>
  <c r="H52" i="9"/>
  <c r="I52" i="9"/>
  <c r="J52" i="9"/>
  <c r="G48" i="9"/>
  <c r="H48" i="9"/>
  <c r="I48" i="9"/>
  <c r="J48" i="9"/>
  <c r="G49" i="9"/>
  <c r="H49" i="9"/>
  <c r="I49" i="9"/>
  <c r="J49" i="9"/>
  <c r="G45" i="9"/>
  <c r="H45" i="9"/>
  <c r="I45" i="9"/>
  <c r="J45" i="9"/>
  <c r="G46" i="9"/>
  <c r="H46" i="9"/>
  <c r="I46" i="9"/>
  <c r="J46" i="9"/>
  <c r="G38" i="9"/>
  <c r="H38" i="9"/>
  <c r="I38" i="9"/>
  <c r="J38" i="9"/>
  <c r="G39" i="9"/>
  <c r="H39" i="9"/>
  <c r="I39" i="9"/>
  <c r="J39" i="9"/>
  <c r="G35" i="9"/>
  <c r="H35" i="9"/>
  <c r="I35" i="9"/>
  <c r="J35" i="9"/>
  <c r="G36" i="9"/>
  <c r="H36" i="9"/>
  <c r="I36" i="9"/>
  <c r="J36" i="9"/>
  <c r="G32" i="9"/>
  <c r="H32" i="9"/>
  <c r="I32" i="9"/>
  <c r="J32" i="9"/>
  <c r="G33" i="9"/>
  <c r="H33" i="9"/>
  <c r="I33" i="9"/>
  <c r="J33" i="9"/>
  <c r="G25" i="9"/>
  <c r="H25" i="9"/>
  <c r="I25" i="9"/>
  <c r="J25" i="9"/>
  <c r="G26" i="9"/>
  <c r="H26" i="9"/>
  <c r="I26" i="9"/>
  <c r="J26" i="9"/>
  <c r="G22" i="9"/>
  <c r="H22" i="9"/>
  <c r="I22" i="9"/>
  <c r="J22" i="9"/>
  <c r="G23" i="9"/>
  <c r="H23" i="9"/>
  <c r="I23" i="9"/>
  <c r="J23" i="9"/>
  <c r="G19" i="9"/>
  <c r="H19" i="9"/>
  <c r="I19" i="9"/>
  <c r="J19" i="9"/>
  <c r="G20" i="9"/>
  <c r="H20" i="9"/>
  <c r="I20" i="9"/>
  <c r="J20" i="9"/>
  <c r="G12" i="9"/>
  <c r="H12" i="9"/>
  <c r="I12" i="9"/>
  <c r="J12" i="9"/>
  <c r="G13" i="9"/>
  <c r="H13" i="9"/>
  <c r="I13" i="9"/>
  <c r="J13" i="9"/>
  <c r="G9" i="9"/>
  <c r="H9" i="9"/>
  <c r="I9" i="9"/>
  <c r="J9" i="9"/>
  <c r="G10" i="9"/>
  <c r="H10" i="9"/>
  <c r="I10" i="9"/>
  <c r="J10" i="9"/>
  <c r="G6" i="9"/>
  <c r="H6" i="9"/>
  <c r="I6" i="9"/>
  <c r="J6" i="9"/>
  <c r="G7" i="9"/>
  <c r="H7" i="9"/>
  <c r="I7" i="9"/>
  <c r="J7" i="9"/>
  <c r="G50" i="8"/>
  <c r="H50" i="8"/>
  <c r="I50" i="8"/>
  <c r="J50" i="8"/>
  <c r="G51" i="8"/>
  <c r="H51" i="8"/>
  <c r="I51" i="8"/>
  <c r="J51" i="8"/>
  <c r="G47" i="8"/>
  <c r="H47" i="8"/>
  <c r="I47" i="8"/>
  <c r="J47" i="8"/>
  <c r="G48" i="8"/>
  <c r="H48" i="8"/>
  <c r="I48" i="8"/>
  <c r="J48" i="8"/>
  <c r="G44" i="8"/>
  <c r="H44" i="8"/>
  <c r="I44" i="8"/>
  <c r="J44" i="8"/>
  <c r="G45" i="8"/>
  <c r="H45" i="8"/>
  <c r="I45" i="8"/>
  <c r="J45" i="8"/>
  <c r="G37" i="8"/>
  <c r="H37" i="8"/>
  <c r="I37" i="8"/>
  <c r="J37" i="8"/>
  <c r="G38" i="8"/>
  <c r="H38" i="8"/>
  <c r="I38" i="8"/>
  <c r="J38" i="8"/>
  <c r="G34" i="8"/>
  <c r="H34" i="8"/>
  <c r="I34" i="8"/>
  <c r="J34" i="8"/>
  <c r="G35" i="8"/>
  <c r="H35" i="8"/>
  <c r="I35" i="8"/>
  <c r="J35" i="8"/>
  <c r="G31" i="8"/>
  <c r="H31" i="8"/>
  <c r="I31" i="8"/>
  <c r="J31" i="8"/>
  <c r="G32" i="8"/>
  <c r="H32" i="8"/>
  <c r="I32" i="8"/>
  <c r="J32" i="8"/>
  <c r="G25" i="8"/>
  <c r="H25" i="8"/>
  <c r="I25" i="8"/>
  <c r="J25" i="8"/>
  <c r="G26" i="8"/>
  <c r="H26" i="8"/>
  <c r="I26" i="8"/>
  <c r="J26" i="8"/>
  <c r="G22" i="8"/>
  <c r="H22" i="8"/>
  <c r="I22" i="8"/>
  <c r="J22" i="8"/>
  <c r="G23" i="8"/>
  <c r="H23" i="8"/>
  <c r="I23" i="8"/>
  <c r="J23" i="8"/>
  <c r="G19" i="8"/>
  <c r="H19" i="8"/>
  <c r="I19" i="8"/>
  <c r="J19" i="8"/>
  <c r="G20" i="8"/>
  <c r="H20" i="8"/>
  <c r="I20" i="8"/>
  <c r="J20" i="8"/>
  <c r="G12" i="8"/>
  <c r="H12" i="8"/>
  <c r="I12" i="8"/>
  <c r="J12" i="8"/>
  <c r="G13" i="8"/>
  <c r="H13" i="8"/>
  <c r="I13" i="8"/>
  <c r="J13" i="8"/>
  <c r="G9" i="8"/>
  <c r="H9" i="8"/>
  <c r="I9" i="8"/>
  <c r="J9" i="8"/>
  <c r="G10" i="8"/>
  <c r="H10" i="8"/>
  <c r="I10" i="8"/>
  <c r="J10" i="8"/>
  <c r="G6" i="8"/>
  <c r="H6" i="8"/>
  <c r="J6" i="8"/>
  <c r="G7" i="8"/>
  <c r="H7" i="8"/>
  <c r="I7" i="8"/>
  <c r="J7" i="8"/>
  <c r="G67" i="5"/>
  <c r="H67" i="5"/>
  <c r="I67" i="5"/>
  <c r="J67" i="5"/>
  <c r="G68" i="5"/>
  <c r="H68" i="5"/>
  <c r="I68" i="5"/>
  <c r="J68" i="5"/>
  <c r="G64" i="5"/>
  <c r="H64" i="5"/>
  <c r="I64" i="5"/>
  <c r="J64" i="5"/>
  <c r="G65" i="5"/>
  <c r="H65" i="5"/>
  <c r="I65" i="5"/>
  <c r="J65" i="5"/>
  <c r="G61" i="5"/>
  <c r="H61" i="5"/>
  <c r="I61" i="5"/>
  <c r="J61" i="5"/>
  <c r="G62" i="5"/>
  <c r="H62" i="5"/>
  <c r="I62" i="5"/>
  <c r="J62" i="5"/>
  <c r="G54" i="5"/>
  <c r="H54" i="5"/>
  <c r="I54" i="5"/>
  <c r="J54" i="5"/>
  <c r="G55" i="5"/>
  <c r="H55" i="5"/>
  <c r="I55" i="5"/>
  <c r="J55" i="5"/>
  <c r="G51" i="5"/>
  <c r="H51" i="5"/>
  <c r="I51" i="5"/>
  <c r="J51" i="5"/>
  <c r="G52" i="5"/>
  <c r="H52" i="5"/>
  <c r="I52" i="5"/>
  <c r="J52" i="5"/>
  <c r="G48" i="5"/>
  <c r="H48" i="5"/>
  <c r="I48" i="5"/>
  <c r="J48" i="5"/>
  <c r="G49" i="5"/>
  <c r="H49" i="5"/>
  <c r="I49" i="5"/>
  <c r="J49" i="5"/>
  <c r="G12" i="5"/>
  <c r="H12" i="5"/>
  <c r="I12" i="5"/>
  <c r="J12" i="5"/>
  <c r="G13" i="5"/>
  <c r="H13" i="5"/>
  <c r="I13" i="5"/>
  <c r="J13" i="5"/>
  <c r="G9" i="5"/>
  <c r="H9" i="5"/>
  <c r="I9" i="5"/>
  <c r="J9" i="5"/>
  <c r="G10" i="5"/>
  <c r="H10" i="5"/>
  <c r="I10" i="5"/>
  <c r="J10" i="5"/>
  <c r="G6" i="5"/>
  <c r="H6" i="5"/>
  <c r="I6" i="5"/>
  <c r="J6" i="5"/>
  <c r="G7" i="5"/>
  <c r="H7" i="5"/>
  <c r="I7" i="5"/>
  <c r="J7" i="5"/>
  <c r="G67" i="4"/>
  <c r="H67" i="4"/>
  <c r="I67" i="4"/>
  <c r="J67" i="4"/>
  <c r="G68" i="4"/>
  <c r="H68" i="4"/>
  <c r="I68" i="4"/>
  <c r="J68" i="4"/>
  <c r="G64" i="4"/>
  <c r="H64" i="4"/>
  <c r="I64" i="4"/>
  <c r="J64" i="4"/>
  <c r="G65" i="4"/>
  <c r="H65" i="4"/>
  <c r="I65" i="4"/>
  <c r="J65" i="4"/>
  <c r="G61" i="4"/>
  <c r="H61" i="4"/>
  <c r="I61" i="4"/>
  <c r="J61" i="4"/>
  <c r="G62" i="4"/>
  <c r="H62" i="4"/>
  <c r="I62" i="4"/>
  <c r="J62" i="4"/>
  <c r="G54" i="4"/>
  <c r="H54" i="4"/>
  <c r="I54" i="4"/>
  <c r="J54" i="4"/>
  <c r="G55" i="4"/>
  <c r="H55" i="4"/>
  <c r="I55" i="4"/>
  <c r="J55" i="4"/>
  <c r="G51" i="4"/>
  <c r="H51" i="4"/>
  <c r="I51" i="4"/>
  <c r="J51" i="4"/>
  <c r="G52" i="4"/>
  <c r="H52" i="4"/>
  <c r="I52" i="4"/>
  <c r="J52" i="4"/>
  <c r="G48" i="4"/>
  <c r="H48" i="4"/>
  <c r="I48" i="4"/>
  <c r="J48" i="4"/>
  <c r="G49" i="4"/>
  <c r="H49" i="4"/>
  <c r="I49" i="4"/>
  <c r="J49" i="4"/>
  <c r="G12" i="4"/>
  <c r="H12" i="4"/>
  <c r="I12" i="4"/>
  <c r="J12" i="4"/>
  <c r="G13" i="4"/>
  <c r="H13" i="4"/>
  <c r="I13" i="4"/>
  <c r="J13" i="4"/>
  <c r="G9" i="4"/>
  <c r="H9" i="4"/>
  <c r="I9" i="4"/>
  <c r="J9" i="4"/>
  <c r="G10" i="4"/>
  <c r="H10" i="4"/>
  <c r="I10" i="4"/>
  <c r="J10" i="4"/>
  <c r="G6" i="4"/>
  <c r="H6" i="4"/>
  <c r="I6" i="4"/>
  <c r="J6" i="4"/>
  <c r="G7" i="4"/>
  <c r="H7" i="4"/>
  <c r="I7" i="4"/>
  <c r="J7" i="4"/>
  <c r="G51" i="3"/>
  <c r="H51" i="3"/>
  <c r="I51" i="3"/>
  <c r="J51" i="3"/>
  <c r="G52" i="3"/>
  <c r="H52" i="3"/>
  <c r="I52" i="3"/>
  <c r="J52" i="3"/>
  <c r="G48" i="3"/>
  <c r="H48" i="3"/>
  <c r="I48" i="3"/>
  <c r="J48" i="3"/>
  <c r="G49" i="3"/>
  <c r="H49" i="3"/>
  <c r="I49" i="3"/>
  <c r="J49" i="3"/>
  <c r="G45" i="3"/>
  <c r="H45" i="3"/>
  <c r="I45" i="3"/>
  <c r="J45" i="3"/>
  <c r="G46" i="3"/>
  <c r="H46" i="3"/>
  <c r="I46" i="3"/>
  <c r="J46" i="3"/>
  <c r="G38" i="3"/>
  <c r="H38" i="3"/>
  <c r="I38" i="3"/>
  <c r="J38" i="3"/>
  <c r="G39" i="3"/>
  <c r="H39" i="3"/>
  <c r="I39" i="3"/>
  <c r="J39" i="3"/>
  <c r="G35" i="3"/>
  <c r="H35" i="3"/>
  <c r="I35" i="3"/>
  <c r="J35" i="3"/>
  <c r="G36" i="3"/>
  <c r="H36" i="3"/>
  <c r="I36" i="3"/>
  <c r="J36" i="3"/>
  <c r="G32" i="3"/>
  <c r="H32" i="3"/>
  <c r="I32" i="3"/>
  <c r="J32" i="3"/>
  <c r="G33" i="3"/>
  <c r="H33" i="3"/>
  <c r="I33" i="3"/>
  <c r="J33" i="3"/>
  <c r="G25" i="3"/>
  <c r="H25" i="3"/>
  <c r="I25" i="3"/>
  <c r="J25" i="3"/>
  <c r="G26" i="3"/>
  <c r="H26" i="3"/>
  <c r="I26" i="3"/>
  <c r="J26" i="3"/>
  <c r="G22" i="3"/>
  <c r="H22" i="3"/>
  <c r="I22" i="3"/>
  <c r="J22" i="3"/>
  <c r="G23" i="3"/>
  <c r="H23" i="3"/>
  <c r="I23" i="3"/>
  <c r="J23" i="3"/>
  <c r="G19" i="3"/>
  <c r="H19" i="3"/>
  <c r="I19" i="3"/>
  <c r="J19" i="3"/>
  <c r="G20" i="3"/>
  <c r="H20" i="3"/>
  <c r="I20" i="3"/>
  <c r="J20" i="3"/>
  <c r="G12" i="3"/>
  <c r="H12" i="3"/>
  <c r="I12" i="3"/>
  <c r="J12" i="3"/>
  <c r="G13" i="3"/>
  <c r="H13" i="3"/>
  <c r="I13" i="3"/>
  <c r="J13" i="3"/>
  <c r="G9" i="3"/>
  <c r="H9" i="3"/>
  <c r="I9" i="3"/>
  <c r="J9" i="3"/>
  <c r="G10" i="3"/>
  <c r="H10" i="3"/>
  <c r="I10" i="3"/>
  <c r="J10" i="3"/>
  <c r="G6" i="3"/>
  <c r="H6" i="3"/>
  <c r="I6" i="3"/>
  <c r="J6" i="3"/>
  <c r="G7" i="3"/>
  <c r="H7" i="3"/>
  <c r="I7" i="3"/>
  <c r="J7" i="3"/>
</calcChain>
</file>

<file path=xl/sharedStrings.xml><?xml version="1.0" encoding="utf-8"?>
<sst xmlns="http://schemas.openxmlformats.org/spreadsheetml/2006/main" count="1216" uniqueCount="108">
  <si>
    <t>Allocator Version</t>
  </si>
  <si>
    <t>Assignee:</t>
  </si>
  <si>
    <t>Mohamed Konsowa</t>
  </si>
  <si>
    <t>Group 2</t>
  </si>
  <si>
    <t>Run on AMD Ryzen 9 7900X 12-Core Processor</t>
  </si>
  <si>
    <t>32GB</t>
  </si>
  <si>
    <t>WSL Ubuntu 24.04 LTS</t>
  </si>
  <si>
    <t>Averages</t>
  </si>
  <si>
    <t>Matrix Array</t>
  </si>
  <si>
    <t>Run 1</t>
  </si>
  <si>
    <t>Run 2</t>
  </si>
  <si>
    <t>Run 3</t>
  </si>
  <si>
    <t>Run 4</t>
  </si>
  <si>
    <t>Run 5</t>
  </si>
  <si>
    <t>Min</t>
  </si>
  <si>
    <t>Max</t>
  </si>
  <si>
    <t>Avg.</t>
  </si>
  <si>
    <t>St. Dev</t>
  </si>
  <si>
    <t>PeakMemoryKB</t>
  </si>
  <si>
    <t>Major Faults</t>
  </si>
  <si>
    <t>Minor Faults</t>
  </si>
  <si>
    <t>VoluntaryCS</t>
  </si>
  <si>
    <t>InvoluntaryCS</t>
  </si>
  <si>
    <t>CPU %</t>
  </si>
  <si>
    <t>Short</t>
  </si>
  <si>
    <t>Regular New:</t>
  </si>
  <si>
    <t>Overloaded New:</t>
  </si>
  <si>
    <t>Medium</t>
  </si>
  <si>
    <t>Long</t>
  </si>
  <si>
    <t>Assignee</t>
  </si>
  <si>
    <t>Uniform Matrix</t>
  </si>
  <si>
    <t>Nested Matrix</t>
  </si>
  <si>
    <t>Linked List</t>
  </si>
  <si>
    <t>Liam Seymour, Group 1</t>
  </si>
  <si>
    <t>Intel i5-6400, 4 logical cores</t>
  </si>
  <si>
    <t>12 GB RAM</t>
  </si>
  <si>
    <t>Arch Linux (Kernel 7.2.4)</t>
  </si>
  <si>
    <t>Matrix Size:</t>
  </si>
  <si>
    <t>Run on 12 core Apple M3 Max</t>
  </si>
  <si>
    <t>Not Collected</t>
  </si>
  <si>
    <t>48GB</t>
  </si>
  <si>
    <t>MacOS 26.5.2, build 25F84 </t>
  </si>
  <si>
    <t>Using an Intel i7-11800H 8 core 16 thread @ 2.3 GHz up to 4.6 GHz</t>
  </si>
  <si>
    <t>16 GB DDR4 RAM at 3200 MT/s</t>
  </si>
  <si>
    <r>
      <rPr>
        <i/>
        <sz val="10"/>
        <color rgb="FF000000"/>
        <rFont val="Arial"/>
      </rPr>
      <t>Assignee</t>
    </r>
    <r>
      <rPr>
        <sz val="10"/>
        <color rgb="FF000000"/>
        <rFont val="Arial"/>
      </rPr>
      <t>: Jose Fuentes Group 1</t>
    </r>
  </si>
  <si>
    <t>AMD Ryzen 7 7800X3D (Zen 4)</t>
  </si>
  <si>
    <t>Ubuntu 26.04 (WSL2), glibc, g++ 15.2.0</t>
  </si>
  <si>
    <t xml:space="preserve">Averages </t>
  </si>
  <si>
    <t>Short (size 100, 35,000 passes)</t>
  </si>
  <si>
    <t>Medium (size 100, 1,335,000 passes)</t>
  </si>
  <si>
    <t>Long (size 100, 4,100,000 passes)</t>
  </si>
  <si>
    <t>MacBook Pro Apple M5 Pro (arm64)</t>
  </si>
  <si>
    <t>macOS 26.6.2, Apple Clang, 24 GB</t>
  </si>
  <si>
    <t xml:space="preserve">Short </t>
  </si>
  <si>
    <t>Passes:</t>
  </si>
  <si>
    <t>Calvin wu</t>
  </si>
  <si>
    <t xml:space="preserve">Jose Fuentes - Group 1 </t>
  </si>
  <si>
    <t>Short  (size 100, 35,000 passes)</t>
  </si>
  <si>
    <t>Medium  (size 100, 1,335,000 passes)</t>
  </si>
  <si>
    <t>Long  (size 100, 4,100,000 passes)</t>
  </si>
  <si>
    <t xml:space="preserve"> Jose Fuentes - Group 1</t>
  </si>
  <si>
    <t>MacBook Pro M5 Pro (arm64)</t>
  </si>
  <si>
    <t>Averages (mean of 5 runs)</t>
  </si>
  <si>
    <t>Robert</t>
  </si>
  <si>
    <t>Group 1</t>
  </si>
  <si>
    <t>(notes, laptop is quite old, 6+ years old in fact)</t>
  </si>
  <si>
    <t>Thinkpad X13 Yoga Gen 1</t>
  </si>
  <si>
    <t>16 GB of RAM</t>
  </si>
  <si>
    <t>Using WSL (Windows Subsystem for Linux)</t>
  </si>
  <si>
    <t xml:space="preserve"> 4-core, 8-thread mobile processor with a base clock of 1.8 GHz</t>
  </si>
  <si>
    <t>Short (225 x 225)</t>
  </si>
  <si>
    <t>Medium (700 x 700)</t>
  </si>
  <si>
    <t>Short (225 x 225), 600 passes</t>
  </si>
  <si>
    <t>Medium (800 x 800), 600 passes</t>
  </si>
  <si>
    <t>Short (200 rounds)</t>
  </si>
  <si>
    <t>Medium (1000 rounds; longer duration ones not needed due to obvious gap where regular is linear, but overloaded appears not to be)</t>
  </si>
  <si>
    <t>Matrix</t>
  </si>
  <si>
    <t>Nodes</t>
  </si>
  <si>
    <t>Stress</t>
  </si>
  <si>
    <t>Linked</t>
  </si>
  <si>
    <t>Jacob Nance - Team 2</t>
  </si>
  <si>
    <t>Run on 4 consecutive 11th Gen Intel® Core™ i7-1165G7  processors</t>
  </si>
  <si>
    <t>CPU</t>
  </si>
  <si>
    <t>MajorFaults</t>
  </si>
  <si>
    <t>MinorFaults</t>
  </si>
  <si>
    <t>16GB Memory</t>
  </si>
  <si>
    <t>Ubuntu 24.04.3 LTS  OS</t>
  </si>
  <si>
    <t>CPU (%)</t>
  </si>
  <si>
    <t>Avg</t>
  </si>
  <si>
    <t>Args</t>
  </si>
  <si>
    <t>Short = 275</t>
  </si>
  <si>
    <t>Med = 900</t>
  </si>
  <si>
    <t>Long = 1225</t>
  </si>
  <si>
    <t>Uniform Nodes</t>
  </si>
  <si>
    <t>Arg1</t>
  </si>
  <si>
    <t>Short = 285</t>
  </si>
  <si>
    <t>Large = 1200</t>
  </si>
  <si>
    <t>Arg2</t>
  </si>
  <si>
    <t>All = 600</t>
  </si>
  <si>
    <t>Memory Stress</t>
  </si>
  <si>
    <t>Short = 100</t>
  </si>
  <si>
    <t>Med = 440</t>
  </si>
  <si>
    <t>Long = 900</t>
  </si>
  <si>
    <t>Short = 125000</t>
  </si>
  <si>
    <t>Med = 580000</t>
  </si>
  <si>
    <t>Long = 875000</t>
  </si>
  <si>
    <t>V1.0.0</t>
  </si>
  <si>
    <t>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</si>
</sst>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Aptos"/>
      <charset val="1"/>
    </font>
    <font>
      <sz val="10"/>
      <color rgb="FF000000"/>
      <name val="Calibri"/>
      <charset val="1"/>
    </font>
    <font>
      <sz val="10"/>
      <color theme="1"/>
      <name val="Calibri"/>
      <charset val="1"/>
    </font>
    <font>
      <sz val="11"/>
      <color rgb="FF000000"/>
      <name val="Courier New"/>
      <charset val="1"/>
    </font>
    <font>
      <i/>
      <sz val="11"/>
      <color rgb="FF000000"/>
      <name val="Courier New"/>
      <charset val="1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sz val="10"/>
      <color theme="1"/>
      <name val="Liberation Sans"/>
      <charset val="1"/>
    </font>
    <font>
      <i/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2"/>
      <color rgb="FFFFFFFF"/>
      <name val="Calibri"/>
      <charset val="1"/>
    </font>
    <font>
      <b/>
      <i/>
      <sz val="13.5"/>
      <color rgb="FF000000"/>
      <name val="Calibri"/>
      <charset val="1"/>
    </font>
    <font>
      <sz val="10"/>
      <color rgb="FFFFFFFF"/>
      <name val="Calibri"/>
      <charset val="1"/>
    </font>
    <font>
      <b/>
      <sz val="10"/>
      <color rgb="FFFFFFFF"/>
      <name val="Calibri"/>
      <charset val="1"/>
    </font>
    <font>
      <sz val="11"/>
      <color rgb="FF000000"/>
      <name val="Aptos Narrow"/>
    </font>
    <font>
      <b/>
      <sz val="11"/>
      <color rgb="FF000000"/>
      <name val="Calibri"/>
      <scheme val="minor"/>
    </font>
    <font>
      <sz val="11"/>
      <color rgb="FF000000"/>
      <name val="Aptos Narrow"/>
      <family val="2"/>
    </font>
    <font>
      <sz val="10"/>
      <color theme="1"/>
      <name val="Arial"/>
      <charset val="1"/>
    </font>
    <font>
      <sz val="11"/>
      <color theme="1"/>
      <name val="Calibri"/>
      <charset val="1"/>
    </font>
    <font>
      <b/>
      <sz val="10"/>
      <color theme="1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i/>
      <sz val="10"/>
      <color theme="1"/>
      <name val="Arial"/>
      <charset val="1"/>
    </font>
    <font>
      <sz val="10"/>
      <color rgb="FF000000"/>
      <name val="Arial"/>
    </font>
    <font>
      <i/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DBDBDB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07A38"/>
        <bgColor indexed="64"/>
      </patternFill>
    </fill>
    <fill>
      <patternFill patternType="solid">
        <fgColor rgb="FFEDEDED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0D0CC"/>
      </right>
      <top style="thin">
        <color rgb="FF000000"/>
      </top>
      <bottom style="thin">
        <color rgb="FFD0D0CC"/>
      </bottom>
      <diagonal/>
    </border>
    <border>
      <left style="thin">
        <color rgb="FFCCCCCC"/>
      </left>
      <right style="thin">
        <color rgb="FFD0D0CC"/>
      </right>
      <top style="thin">
        <color rgb="FF000000"/>
      </top>
      <bottom style="thin">
        <color rgb="FFD0D0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D0D0CC"/>
      </bottom>
      <diagonal/>
    </border>
    <border>
      <left style="thin">
        <color rgb="FF000000"/>
      </left>
      <right style="thin">
        <color rgb="FFD0D0CC"/>
      </right>
      <top style="thin">
        <color rgb="FFCCCCCC"/>
      </top>
      <bottom style="thin">
        <color rgb="FFD0D0CC"/>
      </bottom>
      <diagonal/>
    </border>
    <border>
      <left style="thin">
        <color rgb="FFCCCCCC"/>
      </left>
      <right style="thin">
        <color rgb="FFD0D0CC"/>
      </right>
      <top style="thin">
        <color rgb="FFCCCCCC"/>
      </top>
      <bottom style="thin">
        <color rgb="FFD0D0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D0D0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D0D0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D0D0CC"/>
      </bottom>
      <diagonal/>
    </border>
    <border>
      <left style="thin">
        <color rgb="FF000000"/>
      </left>
      <right style="thin">
        <color rgb="FFD0D0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D0D0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D0D0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D0D0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D0D0CC"/>
      </bottom>
      <diagonal/>
    </border>
    <border>
      <left style="thin">
        <color rgb="FFCCCCCC"/>
      </left>
      <right/>
      <top style="thin">
        <color rgb="FF000000"/>
      </top>
      <bottom style="thin">
        <color rgb="FFD0D0CC"/>
      </bottom>
      <diagonal/>
    </border>
    <border>
      <left/>
      <right/>
      <top style="thin">
        <color rgb="FF000000"/>
      </top>
      <bottom style="thin">
        <color rgb="FFD0D0CC"/>
      </bottom>
      <diagonal/>
    </border>
    <border>
      <left/>
      <right style="thin">
        <color rgb="FF000000"/>
      </right>
      <top style="thin">
        <color rgb="FF000000"/>
      </top>
      <bottom style="thin">
        <color rgb="FFD0D0CC"/>
      </bottom>
      <diagonal/>
    </border>
    <border>
      <left style="thin">
        <color rgb="FFCCCCCC"/>
      </left>
      <right/>
      <top style="thin">
        <color rgb="FFCCCCCC"/>
      </top>
      <bottom style="thin">
        <color rgb="FFD0D0CC"/>
      </bottom>
      <diagonal/>
    </border>
    <border>
      <left/>
      <right/>
      <top style="thin">
        <color rgb="FFCCCCCC"/>
      </top>
      <bottom style="thin">
        <color rgb="FFD0D0CC"/>
      </bottom>
      <diagonal/>
    </border>
    <border>
      <left/>
      <right style="thin">
        <color rgb="FF000000"/>
      </right>
      <top style="thin">
        <color rgb="FFCCCCCC"/>
      </top>
      <bottom style="thin">
        <color rgb="FFD0D0CC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</cellStyleXfs>
  <cellXfs count="109">
    <xf numFmtId="0" fontId="0" fillId="0" borderId="0" xfId="0"/>
    <xf numFmtId="0" fontId="3" fillId="0" borderId="0" xfId="0" applyFont="1"/>
    <xf numFmtId="0" fontId="5" fillId="0" borderId="0" xfId="0" applyFont="1"/>
    <xf numFmtId="164" fontId="4" fillId="0" borderId="0" xfId="0" applyNumberFormat="1" applyFont="1"/>
    <xf numFmtId="164" fontId="3" fillId="0" borderId="0" xfId="0" applyNumberFormat="1" applyFont="1"/>
    <xf numFmtId="164" fontId="2" fillId="2" borderId="0" xfId="1" applyNumberFormat="1"/>
    <xf numFmtId="164" fontId="6" fillId="2" borderId="0" xfId="1" applyNumberFormat="1" applyFont="1"/>
    <xf numFmtId="164" fontId="5" fillId="0" borderId="0" xfId="0" applyNumberFormat="1" applyFont="1"/>
    <xf numFmtId="164" fontId="0" fillId="0" borderId="0" xfId="0" applyNumberFormat="1"/>
    <xf numFmtId="164" fontId="7" fillId="3" borderId="0" xfId="2" applyNumberFormat="1"/>
    <xf numFmtId="0" fontId="3" fillId="4" borderId="0" xfId="0" applyFont="1" applyFill="1"/>
    <xf numFmtId="164" fontId="3" fillId="4" borderId="0" xfId="0" applyNumberFormat="1" applyFont="1" applyFill="1"/>
    <xf numFmtId="0" fontId="2" fillId="4" borderId="0" xfId="1" applyFill="1"/>
    <xf numFmtId="164" fontId="6" fillId="4" borderId="0" xfId="1" applyNumberFormat="1" applyFont="1" applyFill="1"/>
    <xf numFmtId="0" fontId="0" fillId="4" borderId="0" xfId="0" applyFill="1"/>
    <xf numFmtId="164" fontId="7" fillId="4" borderId="0" xfId="2" applyNumberFormat="1" applyFill="1"/>
    <xf numFmtId="164" fontId="3" fillId="4" borderId="0" xfId="1" applyNumberFormat="1" applyFont="1" applyFill="1"/>
    <xf numFmtId="164" fontId="7" fillId="5" borderId="0" xfId="3" applyNumberFormat="1"/>
    <xf numFmtId="164" fontId="0" fillId="2" borderId="0" xfId="1" applyNumberFormat="1" applyFont="1"/>
    <xf numFmtId="164" fontId="3" fillId="2" borderId="0" xfId="1" applyNumberFormat="1" applyFont="1"/>
    <xf numFmtId="164" fontId="8" fillId="3" borderId="0" xfId="2" applyNumberFormat="1" applyFont="1"/>
    <xf numFmtId="164" fontId="8" fillId="5" borderId="0" xfId="3" applyNumberFormat="1" applyFont="1"/>
    <xf numFmtId="0" fontId="0" fillId="4" borderId="0" xfId="1" applyFont="1" applyFill="1"/>
    <xf numFmtId="164" fontId="8" fillId="4" borderId="0" xfId="2" applyNumberFormat="1" applyFont="1" applyFill="1"/>
    <xf numFmtId="0" fontId="7" fillId="6" borderId="0" xfId="4"/>
    <xf numFmtId="0" fontId="9" fillId="6" borderId="0" xfId="4" applyFont="1" applyAlignment="1">
      <alignment horizontal="center"/>
    </xf>
    <xf numFmtId="0" fontId="8" fillId="6" borderId="0" xfId="4" applyFont="1"/>
    <xf numFmtId="0" fontId="10" fillId="6" borderId="0" xfId="4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7" borderId="0" xfId="0" applyFont="1" applyFill="1"/>
    <xf numFmtId="2" fontId="0" fillId="0" borderId="0" xfId="0" applyNumberFormat="1"/>
    <xf numFmtId="2" fontId="0" fillId="2" borderId="0" xfId="1" applyNumberFormat="1" applyFont="1"/>
    <xf numFmtId="0" fontId="0" fillId="0" borderId="1" xfId="0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164" fontId="17" fillId="5" borderId="0" xfId="3" applyNumberFormat="1" applyFont="1"/>
    <xf numFmtId="164" fontId="3" fillId="0" borderId="1" xfId="0" applyNumberFormat="1" applyFont="1" applyBorder="1"/>
    <xf numFmtId="164" fontId="18" fillId="4" borderId="1" xfId="1" applyNumberFormat="1" applyFont="1" applyFill="1" applyBorder="1"/>
    <xf numFmtId="164" fontId="18" fillId="4" borderId="1" xfId="2" applyNumberFormat="1" applyFont="1" applyFill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9" fillId="8" borderId="0" xfId="0" applyFont="1" applyFill="1"/>
    <xf numFmtId="0" fontId="22" fillId="8" borderId="0" xfId="0" applyFont="1" applyFill="1"/>
    <xf numFmtId="0" fontId="23" fillId="0" borderId="0" xfId="0" applyFont="1"/>
    <xf numFmtId="0" fontId="21" fillId="7" borderId="0" xfId="0" applyFont="1" applyFill="1"/>
    <xf numFmtId="0" fontId="19" fillId="7" borderId="0" xfId="0" applyFont="1" applyFill="1"/>
    <xf numFmtId="0" fontId="24" fillId="9" borderId="0" xfId="0" applyFont="1" applyFill="1"/>
    <xf numFmtId="0" fontId="24" fillId="10" borderId="0" xfId="0" applyFont="1" applyFill="1"/>
    <xf numFmtId="4" fontId="24" fillId="10" borderId="0" xfId="0" applyNumberFormat="1" applyFont="1" applyFill="1"/>
    <xf numFmtId="0" fontId="25" fillId="10" borderId="0" xfId="0" applyFont="1" applyFill="1"/>
    <xf numFmtId="0" fontId="19" fillId="10" borderId="0" xfId="0" applyFont="1" applyFill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8" fillId="0" borderId="0" xfId="0" applyFont="1"/>
    <xf numFmtId="0" fontId="29" fillId="0" borderId="5" xfId="0" applyFont="1" applyBorder="1" applyAlignment="1">
      <alignment readingOrder="1"/>
    </xf>
    <xf numFmtId="0" fontId="29" fillId="0" borderId="6" xfId="0" applyFont="1" applyBorder="1" applyAlignment="1">
      <alignment readingOrder="1"/>
    </xf>
    <xf numFmtId="0" fontId="29" fillId="0" borderId="7" xfId="0" applyFont="1" applyBorder="1" applyAlignment="1">
      <alignment readingOrder="1"/>
    </xf>
    <xf numFmtId="0" fontId="30" fillId="11" borderId="8" xfId="0" applyFont="1" applyFill="1" applyBorder="1" applyAlignment="1">
      <alignment readingOrder="1"/>
    </xf>
    <xf numFmtId="0" fontId="30" fillId="11" borderId="9" xfId="0" applyFont="1" applyFill="1" applyBorder="1" applyAlignment="1">
      <alignment readingOrder="1"/>
    </xf>
    <xf numFmtId="0" fontId="30" fillId="11" borderId="7" xfId="0" applyFont="1" applyFill="1" applyBorder="1" applyAlignment="1">
      <alignment readingOrder="1"/>
    </xf>
    <xf numFmtId="0" fontId="29" fillId="0" borderId="10" xfId="0" applyFont="1" applyBorder="1" applyAlignment="1">
      <alignment readingOrder="1"/>
    </xf>
    <xf numFmtId="0" fontId="29" fillId="0" borderId="11" xfId="0" applyFont="1" applyBorder="1" applyAlignment="1">
      <alignment readingOrder="1"/>
    </xf>
    <xf numFmtId="0" fontId="29" fillId="0" borderId="12" xfId="0" applyFont="1" applyBorder="1" applyAlignment="1">
      <alignment readingOrder="1"/>
    </xf>
    <xf numFmtId="0" fontId="30" fillId="0" borderId="14" xfId="0" applyFont="1" applyBorder="1" applyAlignment="1">
      <alignment readingOrder="1"/>
    </xf>
    <xf numFmtId="0" fontId="30" fillId="0" borderId="15" xfId="0" applyFont="1" applyBorder="1" applyAlignment="1">
      <alignment readingOrder="1"/>
    </xf>
    <xf numFmtId="0" fontId="30" fillId="0" borderId="17" xfId="0" applyFont="1" applyBorder="1" applyAlignment="1">
      <alignment readingOrder="1"/>
    </xf>
    <xf numFmtId="0" fontId="32" fillId="0" borderId="17" xfId="0" applyFont="1" applyBorder="1" applyAlignment="1">
      <alignment readingOrder="1"/>
    </xf>
    <xf numFmtId="0" fontId="30" fillId="0" borderId="18" xfId="0" applyFont="1" applyBorder="1" applyAlignment="1">
      <alignment readingOrder="1"/>
    </xf>
    <xf numFmtId="0" fontId="30" fillId="0" borderId="8" xfId="0" applyFont="1" applyBorder="1" applyAlignment="1">
      <alignment readingOrder="1"/>
    </xf>
    <xf numFmtId="0" fontId="30" fillId="0" borderId="9" xfId="0" applyFont="1" applyBorder="1" applyAlignment="1">
      <alignment readingOrder="1"/>
    </xf>
    <xf numFmtId="0" fontId="33" fillId="12" borderId="5" xfId="0" applyFont="1" applyFill="1" applyBorder="1" applyAlignment="1">
      <alignment readingOrder="1"/>
    </xf>
    <xf numFmtId="0" fontId="33" fillId="12" borderId="6" xfId="0" applyFont="1" applyFill="1" applyBorder="1" applyAlignment="1">
      <alignment readingOrder="1"/>
    </xf>
    <xf numFmtId="0" fontId="33" fillId="12" borderId="7" xfId="0" applyFont="1" applyFill="1" applyBorder="1" applyAlignment="1">
      <alignment readingOrder="1"/>
    </xf>
    <xf numFmtId="0" fontId="31" fillId="11" borderId="16" xfId="0" applyFont="1" applyFill="1" applyBorder="1" applyAlignment="1">
      <alignment readingOrder="1"/>
    </xf>
    <xf numFmtId="0" fontId="34" fillId="0" borderId="19" xfId="0" applyFont="1" applyBorder="1" applyAlignment="1">
      <alignment readingOrder="1"/>
    </xf>
    <xf numFmtId="0" fontId="34" fillId="0" borderId="10" xfId="0" applyFont="1" applyBorder="1" applyAlignment="1">
      <alignment readingOrder="1"/>
    </xf>
    <xf numFmtId="0" fontId="30" fillId="0" borderId="20" xfId="0" applyFont="1" applyBorder="1" applyAlignment="1">
      <alignment readingOrder="1"/>
    </xf>
    <xf numFmtId="0" fontId="30" fillId="0" borderId="21" xfId="0" applyFont="1" applyBorder="1" applyAlignment="1">
      <alignment readingOrder="1"/>
    </xf>
    <xf numFmtId="0" fontId="29" fillId="14" borderId="5" xfId="0" applyFont="1" applyFill="1" applyBorder="1" applyAlignment="1">
      <alignment readingOrder="1"/>
    </xf>
    <xf numFmtId="0" fontId="29" fillId="14" borderId="6" xfId="0" applyFont="1" applyFill="1" applyBorder="1" applyAlignment="1">
      <alignment readingOrder="1"/>
    </xf>
    <xf numFmtId="3" fontId="29" fillId="0" borderId="6" xfId="0" applyNumberFormat="1" applyFont="1" applyBorder="1" applyAlignment="1">
      <alignment readingOrder="1"/>
    </xf>
    <xf numFmtId="3" fontId="29" fillId="0" borderId="7" xfId="0" applyNumberFormat="1" applyFont="1" applyBorder="1" applyAlignment="1">
      <alignment readingOrder="1"/>
    </xf>
    <xf numFmtId="0" fontId="29" fillId="14" borderId="10" xfId="0" applyFont="1" applyFill="1" applyBorder="1" applyAlignment="1">
      <alignment readingOrder="1"/>
    </xf>
    <xf numFmtId="0" fontId="29" fillId="14" borderId="11" xfId="0" applyFont="1" applyFill="1" applyBorder="1" applyAlignment="1">
      <alignment readingOrder="1"/>
    </xf>
    <xf numFmtId="3" fontId="29" fillId="0" borderId="11" xfId="0" applyNumberFormat="1" applyFont="1" applyBorder="1" applyAlignment="1">
      <alignment readingOrder="1"/>
    </xf>
    <xf numFmtId="3" fontId="29" fillId="0" borderId="12" xfId="0" applyNumberFormat="1" applyFont="1" applyBorder="1" applyAlignment="1">
      <alignment readingOrder="1"/>
    </xf>
    <xf numFmtId="0" fontId="33" fillId="12" borderId="2" xfId="0" applyFont="1" applyFill="1" applyBorder="1" applyAlignment="1">
      <alignment readingOrder="1"/>
    </xf>
    <xf numFmtId="0" fontId="33" fillId="12" borderId="3" xfId="0" applyFont="1" applyFill="1" applyBorder="1" applyAlignment="1">
      <alignment readingOrder="1"/>
    </xf>
    <xf numFmtId="0" fontId="33" fillId="12" borderId="4" xfId="0" applyFont="1" applyFill="1" applyBorder="1" applyAlignment="1">
      <alignment readingOrder="1"/>
    </xf>
    <xf numFmtId="0" fontId="35" fillId="0" borderId="13" xfId="0" applyFont="1" applyBorder="1" applyAlignment="1">
      <alignment readingOrder="1"/>
    </xf>
    <xf numFmtId="0" fontId="35" fillId="0" borderId="16" xfId="0" applyFont="1" applyBorder="1" applyAlignment="1">
      <alignment readingOrder="1"/>
    </xf>
    <xf numFmtId="0" fontId="33" fillId="13" borderId="25" xfId="0" applyFont="1" applyFill="1" applyBorder="1" applyAlignment="1">
      <alignment horizontal="center" vertical="center" readingOrder="1"/>
    </xf>
    <xf numFmtId="0" fontId="33" fillId="13" borderId="26" xfId="0" applyFont="1" applyFill="1" applyBorder="1" applyAlignment="1">
      <alignment horizontal="center" vertical="center" readingOrder="1"/>
    </xf>
    <xf numFmtId="0" fontId="33" fillId="13" borderId="27" xfId="0" applyFont="1" applyFill="1" applyBorder="1" applyAlignment="1">
      <alignment horizontal="center" vertical="center" readingOrder="1"/>
    </xf>
    <xf numFmtId="0" fontId="33" fillId="13" borderId="25" xfId="0" applyFont="1" applyFill="1" applyBorder="1" applyAlignment="1">
      <alignment horizontal="center" readingOrder="1"/>
    </xf>
    <xf numFmtId="0" fontId="33" fillId="13" borderId="26" xfId="0" applyFont="1" applyFill="1" applyBorder="1" applyAlignment="1">
      <alignment horizontal="center" readingOrder="1"/>
    </xf>
    <xf numFmtId="0" fontId="33" fillId="13" borderId="27" xfId="0" applyFont="1" applyFill="1" applyBorder="1" applyAlignment="1">
      <alignment horizontal="center" readingOrder="1"/>
    </xf>
    <xf numFmtId="0" fontId="33" fillId="13" borderId="22" xfId="0" applyFont="1" applyFill="1" applyBorder="1" applyAlignment="1">
      <alignment readingOrder="1"/>
    </xf>
    <xf numFmtId="0" fontId="33" fillId="13" borderId="23" xfId="0" applyFont="1" applyFill="1" applyBorder="1" applyAlignment="1">
      <alignment readingOrder="1"/>
    </xf>
    <xf numFmtId="0" fontId="33" fillId="13" borderId="24" xfId="0" applyFont="1" applyFill="1" applyBorder="1" applyAlignment="1">
      <alignment readingOrder="1"/>
    </xf>
    <xf numFmtId="164" fontId="1" fillId="2" borderId="0" xfId="1" applyNumberFormat="1" applyFont="1"/>
    <xf numFmtId="0" fontId="1" fillId="0" borderId="1" xfId="0" applyFont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0" fontId="1" fillId="4" borderId="1" xfId="1" applyFont="1" applyFill="1" applyBorder="1"/>
  </cellXfs>
  <cellStyles count="5">
    <cellStyle name="40% - Accent3" xfId="1" builtinId="39"/>
    <cellStyle name="Accent1" xfId="3" builtinId="29"/>
    <cellStyle name="Accent2" xfId="4" builtinId="33"/>
    <cellStyle name="Accent3" xfId="2" builtinId="37"/>
    <cellStyle name="Normal" xfId="0" builtinId="0"/>
  </cellStyles>
  <dxfs count="463"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B0C00DE-20BA-4D87-924A-88A2309BC584}" name="Table1711918222630342141623" displayName="Table1711918222630342141623" ref="A58:O67" totalsRowShown="0" headerRowDxfId="462" dataDxfId="461">
  <autoFilter ref="A58:O67" xr:uid="{6B0C00DE-20BA-4D87-924A-88A2309BC584}"/>
  <tableColumns count="15">
    <tableColumn id="1" xr3:uid="{FA9B3206-DA35-4BF9-B311-779BD3BC947C}" name="Matrix Array" dataDxfId="460"/>
    <tableColumn id="2" xr3:uid="{21123ADE-4C6A-4838-84D7-431C0F2D1879}" name="Run 1" dataDxfId="459"/>
    <tableColumn id="3" xr3:uid="{40D83C3A-A601-4CFA-9B5A-CD8C36A1EBFF}" name="Run 2" dataDxfId="458"/>
    <tableColumn id="4" xr3:uid="{AE9893D9-A58B-480C-9AFF-3BEB4CF13A8B}" name="Run 3" dataDxfId="457"/>
    <tableColumn id="5" xr3:uid="{DE04149B-5EC9-4FAD-9ED5-53F9C61BD028}" name="Run 4" dataDxfId="456"/>
    <tableColumn id="6" xr3:uid="{EEC64F5D-9D32-40F0-A2CE-5E623B27B41C}" name="Run 5" dataDxfId="455"/>
    <tableColumn id="7" xr3:uid="{9376AF4E-22FB-4A8F-8B80-23F44D5EA82A}" name="Min" dataDxfId="454">
      <calculatedColumnFormula>MIN(Table1711918222630342141623[[#This Row],[Run 1]:[Run 5]])</calculatedColumnFormula>
    </tableColumn>
    <tableColumn id="8" xr3:uid="{8EB704A1-23F1-4758-843C-1263CA758BEF}" name="Max" dataDxfId="453">
      <calculatedColumnFormula>MAX(B59:F60)</calculatedColumnFormula>
    </tableColumn>
    <tableColumn id="9" xr3:uid="{C5629090-1045-4E3A-8851-CA42D97BA5D6}" name="Avg." dataDxfId="452">
      <calculatedColumnFormula>AVERAGE(Table1711918222630342141623[[#This Row],[Run 1]:[Run 5]])</calculatedColumnFormula>
    </tableColumn>
    <tableColumn id="10" xr3:uid="{BAC2A04F-F7CA-47DF-AF7C-69E1717F487E}" name="St. Dev" dataDxfId="451">
      <calculatedColumnFormula>_xlfn.STDEV.S(Table1711918222630342141623[[#This Row],[Run 1]:[Run 5]])</calculatedColumnFormula>
    </tableColumn>
    <tableColumn id="11" xr3:uid="{A6AABCFC-1DB9-4517-83DB-B72601456E22}" name="PeakMemoryKB" dataDxfId="450"/>
    <tableColumn id="12" xr3:uid="{32F4F5BC-EBA8-4B34-B91F-A4C33B9068F5}" name="Major Faults" dataDxfId="449"/>
    <tableColumn id="13" xr3:uid="{A43ECE15-2CB3-411B-998F-FD92B6AF4B44}" name="Minor Faults" dataDxfId="448"/>
    <tableColumn id="14" xr3:uid="{0B813D87-7A09-43CB-807B-0EF48C4CA417}" name="VoluntaryCS" dataDxfId="447"/>
    <tableColumn id="15" xr3:uid="{6B35A631-19EB-4BE3-AD20-265647878E31}" name="InvoluntaryCS" dataDxfId="44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0DD48D2-A602-41A0-A74C-63000925577D}" name="Table1711918222630342141622" displayName="Table1711918222630342141622" ref="A58:O67" totalsRowShown="0" headerRowDxfId="445" dataDxfId="444">
  <autoFilter ref="A58:O67" xr:uid="{70DD48D2-A602-41A0-A74C-63000925577D}"/>
  <tableColumns count="15">
    <tableColumn id="1" xr3:uid="{3D44D857-2550-4E92-A975-42B4DB62DD1F}" name="Matrix Array" dataDxfId="443"/>
    <tableColumn id="2" xr3:uid="{B62BCD33-C3A3-4C7D-BDAD-67BE8FE10B6D}" name="Run 1" dataDxfId="442"/>
    <tableColumn id="3" xr3:uid="{8D1D54AF-2CA8-4FA1-8DB3-3816D00FC70A}" name="Run 2" dataDxfId="441"/>
    <tableColumn id="4" xr3:uid="{6E8290D3-3C04-4129-90EA-C1420C92EADB}" name="Run 3" dataDxfId="440"/>
    <tableColumn id="5" xr3:uid="{61AD8FC9-46E4-42A8-AB18-D583599FD841}" name="Run 4" dataDxfId="439"/>
    <tableColumn id="6" xr3:uid="{038A1FA8-BE4B-411E-B12C-5CA5B042786E}" name="Run 5" dataDxfId="438"/>
    <tableColumn id="7" xr3:uid="{3F1F66A4-4B95-404A-B83D-816EC11B8F8F}" name="Min" dataDxfId="437">
      <calculatedColumnFormula>MIN(Table1711918222630342141622[[#This Row],[Run 1]:[Run 5]])</calculatedColumnFormula>
    </tableColumn>
    <tableColumn id="8" xr3:uid="{3C1AA58F-64B6-4A09-AFB1-947912D2D369}" name="Max" dataDxfId="436">
      <calculatedColumnFormula>MAX(B59:F60)</calculatedColumnFormula>
    </tableColumn>
    <tableColumn id="9" xr3:uid="{802DE29C-C3A9-426B-8263-93B2FD6971D9}" name="Avg." dataDxfId="435">
      <calculatedColumnFormula>AVERAGE(Table1711918222630342141622[[#This Row],[Run 1]:[Run 5]])</calculatedColumnFormula>
    </tableColumn>
    <tableColumn id="10" xr3:uid="{2E7DF5B8-A603-47CD-9A7C-CDC868B2F665}" name="St. Dev" dataDxfId="434">
      <calculatedColumnFormula>_xlfn.STDEV.S(Table1711918222630342141622[[#This Row],[Run 1]:[Run 5]])</calculatedColumnFormula>
    </tableColumn>
    <tableColumn id="11" xr3:uid="{4EB58F2F-18AB-4FF7-9F3E-E64076CB730B}" name="PeakMemoryKB" dataDxfId="433"/>
    <tableColumn id="12" xr3:uid="{8EAA69AC-2776-4F77-9FA3-7C6C044E1604}" name="Major Faults" dataDxfId="432"/>
    <tableColumn id="13" xr3:uid="{DBB0CDD5-87AA-4271-A2C1-EF70DF0C7F01}" name="Minor Faults" dataDxfId="431"/>
    <tableColumn id="14" xr3:uid="{484F135D-6A6D-4818-868B-B45D067A2E36}" name="VoluntaryCS" dataDxfId="430"/>
    <tableColumn id="15" xr3:uid="{621ADA0B-DB71-48E9-925F-3E3F539B386A}" name="InvoluntaryCS" dataDxfId="42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DFF5491-BB33-441C-B34B-57A03B5ADE81}" name="Table1711918" displayName="Table1711918" ref="A4:O13" totalsRowShown="0" headerRowDxfId="428" dataDxfId="427">
  <autoFilter ref="A4:O13" xr:uid="{8A30D721-F32C-43AA-B66B-F09F1AA17E97}"/>
  <tableColumns count="15">
    <tableColumn id="1" xr3:uid="{6A32F12E-944C-4F75-AA4C-97E8099CABAF}" name="Matrix Array" dataDxfId="426"/>
    <tableColumn id="2" xr3:uid="{5C6A1389-A2DA-46B5-899D-CEE512905A5E}" name="Run 1" dataDxfId="425"/>
    <tableColumn id="3" xr3:uid="{A4CCC36D-F56E-4E08-8CB8-687887BC2A63}" name="Run 2" dataDxfId="424"/>
    <tableColumn id="4" xr3:uid="{51468BEC-F219-4094-AB3C-3C415B25ABE8}" name="Run 3" dataDxfId="423"/>
    <tableColumn id="5" xr3:uid="{9551AFA2-719B-4DC3-BDF3-343B67949B31}" name="Run 4" dataDxfId="422"/>
    <tableColumn id="6" xr3:uid="{858FC913-4005-49DF-B84C-066ED79E86F9}" name="Run 5" dataDxfId="421"/>
    <tableColumn id="7" xr3:uid="{F0177268-8EF6-4A58-9259-E237F9199F81}" name="Min" dataDxfId="420">
      <calculatedColumnFormula>MIN(Table1711918[[#This Row],[Run 1]:[Run 5]])</calculatedColumnFormula>
    </tableColumn>
    <tableColumn id="8" xr3:uid="{F69B9EDD-22A8-4FDE-8130-C1145F661791}" name="Max" dataDxfId="419">
      <calculatedColumnFormula>MAX(B5:F6)</calculatedColumnFormula>
    </tableColumn>
    <tableColumn id="9" xr3:uid="{917EBEB2-BAF1-4469-B28B-51AB2BC5DC27}" name="Avg." dataDxfId="418">
      <calculatedColumnFormula>AVERAGE(Table1711918[[#This Row],[Run 1]:[Run 5]])</calculatedColumnFormula>
    </tableColumn>
    <tableColumn id="10" xr3:uid="{BCC24BBF-EB94-4E14-993A-EAC74FD5F3F5}" name="St. Dev" dataDxfId="417">
      <calculatedColumnFormula>_xlfn.STDEV.S(Table1711918[[#This Row],[Run 1]:[Run 5]])</calculatedColumnFormula>
    </tableColumn>
    <tableColumn id="11" xr3:uid="{0D970487-F272-4581-9D06-290630718881}" name="PeakMemoryKB" dataDxfId="416"/>
    <tableColumn id="12" xr3:uid="{91A05569-D5DE-48E9-B94A-244BAC77A2D2}" name="Major Faults" dataDxfId="415"/>
    <tableColumn id="13" xr3:uid="{B2CDCE83-70A3-4573-B653-D5B8B4440CB3}" name="Minor Faults" dataDxfId="414"/>
    <tableColumn id="14" xr3:uid="{0886B636-E4EB-4141-AF29-F24559224AC6}" name="VoluntaryCS" dataDxfId="413"/>
    <tableColumn id="15" xr3:uid="{69BB6C8E-30A2-4779-8638-7BEEAADC97FA}" name="InvoluntaryCS" dataDxfId="41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F80A10-7E32-4696-BCFE-22EF0DF94AFC}" name="Table171171220" displayName="Table171171220" ref="A46:O55" totalsRowShown="0" headerRowDxfId="411" dataDxfId="410">
  <autoFilter ref="A46:O55" xr:uid="{08D1CD23-FFE1-43FB-B36E-78E00E3A271F}"/>
  <tableColumns count="15">
    <tableColumn id="1" xr3:uid="{B6D402C0-11C2-4F28-88B9-3C3FF04F8E88}" name="Nested Matrix" dataDxfId="409"/>
    <tableColumn id="2" xr3:uid="{6B53BD9A-9471-49A4-84DC-012325CC53DD}" name="Run 1" dataDxfId="408"/>
    <tableColumn id="3" xr3:uid="{3F660C4C-B9F1-4688-9411-0889F2573023}" name="Run 2" dataDxfId="407"/>
    <tableColumn id="4" xr3:uid="{A612E1A0-DDF4-4DF0-A594-0DF013FCCC29}" name="Run 3" dataDxfId="406"/>
    <tableColumn id="5" xr3:uid="{DF22984F-A732-4635-968E-518CE94FBE90}" name="Run 4" dataDxfId="405"/>
    <tableColumn id="6" xr3:uid="{F793DA24-6C49-4285-9C23-E94B3062089D}" name="Run 5" dataDxfId="404"/>
    <tableColumn id="7" xr3:uid="{F9EE8350-EE1C-46ED-99C1-9DC27DCDC55A}" name="Min" dataDxfId="403">
      <calculatedColumnFormula>MIN(Table171171220[[#This Row],[Run 1]:[Run 5]])</calculatedColumnFormula>
    </tableColumn>
    <tableColumn id="8" xr3:uid="{10C58468-D940-4A72-80C6-183A132CFDC8}" name="Max" dataDxfId="402">
      <calculatedColumnFormula>MAX(B47:F48)</calculatedColumnFormula>
    </tableColumn>
    <tableColumn id="9" xr3:uid="{FAB20EB3-BB18-4533-9AF5-AD6E4ECDC786}" name="Avg." dataDxfId="401">
      <calculatedColumnFormula>AVERAGE(Table171171220[[#This Row],[Run 1]:[Run 5]])</calculatedColumnFormula>
    </tableColumn>
    <tableColumn id="10" xr3:uid="{3EA0C4A7-E646-4EF4-A873-84A7770D0365}" name="St. Dev" dataDxfId="400">
      <calculatedColumnFormula>_xlfn.STDEV.S(Table171171220[[#This Row],[Run 1]:[Run 5]])</calculatedColumnFormula>
    </tableColumn>
    <tableColumn id="11" xr3:uid="{5AE647AF-8022-42E9-A942-E223B51C42FC}" name="PeakMemoryKB" dataDxfId="399"/>
    <tableColumn id="12" xr3:uid="{FD6E63BD-1C25-4C6C-BB06-340241381D19}" name="Major Faults" dataDxfId="398"/>
    <tableColumn id="13" xr3:uid="{94C1ED63-C9A9-42F7-A457-257BAEF7EA92}" name="Minor Faults" dataDxfId="397"/>
    <tableColumn id="14" xr3:uid="{7855ED60-AC8E-4438-8267-703B4A717B80}" name="VoluntaryCS" dataDxfId="396"/>
    <tableColumn id="15" xr3:uid="{7EB267C7-AFAE-490A-BAC4-601944EB2658}" name="InvoluntaryCS" dataDxfId="395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3C62834-715D-4750-B7B2-F1D93B43ACA9}" name="Table171181321" displayName="Table171181321" ref="A59:O68" totalsRowShown="0" headerRowDxfId="394" dataDxfId="393">
  <autoFilter ref="A59:O68" xr:uid="{9C3E18DB-B77D-4A24-A857-16E0098F9CF8}"/>
  <tableColumns count="15">
    <tableColumn id="1" xr3:uid="{FEA415C0-DE62-4E73-9D1C-A3C495F154B8}" name="Linked List" dataDxfId="392"/>
    <tableColumn id="2" xr3:uid="{D7E847C2-A884-496E-8641-5070A930F9DE}" name="Run 1" dataDxfId="391"/>
    <tableColumn id="3" xr3:uid="{277AF597-C90E-4FA6-916A-783319580846}" name="Run 2" dataDxfId="390"/>
    <tableColumn id="4" xr3:uid="{A68A7966-A5FE-4633-BEE1-A1D6AAAD00BE}" name="Run 3" dataDxfId="389"/>
    <tableColumn id="5" xr3:uid="{2C665A4A-743A-4C53-A984-5F74C6962DE0}" name="Run 4" dataDxfId="388"/>
    <tableColumn id="6" xr3:uid="{66065938-4CB0-411D-8786-4366FC303491}" name="Run 5" dataDxfId="387"/>
    <tableColumn id="7" xr3:uid="{35EAB4A7-EF71-4EE8-A84C-44535B20BB57}" name="Min" dataDxfId="386">
      <calculatedColumnFormula>MIN(Table171181321[[#This Row],[Run 1]:[Run 5]])</calculatedColumnFormula>
    </tableColumn>
    <tableColumn id="8" xr3:uid="{F3E030F7-1CA3-4ADC-A623-DD8C38AD4F2D}" name="Max" dataDxfId="385">
      <calculatedColumnFormula>MAX(B60:F61)</calculatedColumnFormula>
    </tableColumn>
    <tableColumn id="9" xr3:uid="{17916BC2-3643-477D-A398-7B7DEE2508E5}" name="Avg." dataDxfId="384">
      <calculatedColumnFormula>AVERAGE(Table171181321[[#This Row],[Run 1]:[Run 5]])</calculatedColumnFormula>
    </tableColumn>
    <tableColumn id="10" xr3:uid="{B1334A9A-853C-4283-8E49-0C0DB83E99FF}" name="St. Dev" dataDxfId="383">
      <calculatedColumnFormula>_xlfn.STDEV.S(Table171181321[[#This Row],[Run 1]:[Run 5]])</calculatedColumnFormula>
    </tableColumn>
    <tableColumn id="11" xr3:uid="{3CFA43A6-F3C5-4368-8C47-DDF7254AB972}" name="PeakMemoryKB" dataDxfId="382"/>
    <tableColumn id="12" xr3:uid="{4A9C6E51-450C-4415-B94F-A288C27973D9}" name="Major Faults" dataDxfId="381"/>
    <tableColumn id="13" xr3:uid="{FC502379-08FF-4575-800F-0C088D8ADBBA}" name="Minor Faults" dataDxfId="380"/>
    <tableColumn id="14" xr3:uid="{4A5E5273-5B93-45E3-BD00-5A4348A7D38C}" name="VoluntaryCS" dataDxfId="379"/>
    <tableColumn id="15" xr3:uid="{38017833-F297-4F25-B5AC-5A8E70D8A1FC}" name="InvoluntaryCS" dataDxfId="378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91189FB-A6DC-4642-9FEC-17ADD806A4A0}" name="Table171191822263034214" displayName="Table171191822263034214" ref="A73:O82" totalsRowShown="0" headerRowDxfId="377" dataDxfId="376">
  <autoFilter ref="A73:O82" xr:uid="{591189FB-A6DC-4642-9FEC-17ADD806A4A0}"/>
  <tableColumns count="15">
    <tableColumn id="1" xr3:uid="{65398007-FBBE-4E25-B7D5-5BA5EB0695C5}" name="Matrix Array" dataDxfId="375"/>
    <tableColumn id="2" xr3:uid="{79151581-5870-4CDB-B5FE-13ED0CCDAA6D}" name="Run 1" dataDxfId="374"/>
    <tableColumn id="3" xr3:uid="{D58717BB-7B7E-475F-B724-C60C49D6D5C6}" name="Run 2" dataDxfId="373"/>
    <tableColumn id="4" xr3:uid="{077C02C8-7F49-4C44-AD13-E2C60AEAAB56}" name="Run 3" dataDxfId="372"/>
    <tableColumn id="5" xr3:uid="{D75D75ED-8395-4A1F-9DE2-88A8EC4CB8D2}" name="Run 4" dataDxfId="371"/>
    <tableColumn id="6" xr3:uid="{D40B46F5-078E-4347-8B4B-F49619E12D85}" name="Run 5" dataDxfId="370"/>
    <tableColumn id="7" xr3:uid="{F14F82B1-38C3-4EEE-A2BA-2C0EC2807D48}" name="Min" dataDxfId="369">
      <calculatedColumnFormula>MIN(Table171191822263034214[[#This Row],[Run 1]:[Run 5]])</calculatedColumnFormula>
    </tableColumn>
    <tableColumn id="8" xr3:uid="{53104912-31E6-482C-8E7D-82D771AB4E2E}" name="Max" dataDxfId="368">
      <calculatedColumnFormula>MAX(B74:F75)</calculatedColumnFormula>
    </tableColumn>
    <tableColumn id="9" xr3:uid="{3F5118AC-E8EC-495F-964A-5C499A54B5DF}" name="Avg." dataDxfId="367">
      <calculatedColumnFormula>AVERAGE(Table171191822263034214[[#This Row],[Run 1]:[Run 5]])</calculatedColumnFormula>
    </tableColumn>
    <tableColumn id="10" xr3:uid="{F2DF6707-3A57-4F42-8F32-6EC18C3D4A75}" name="St. Dev" dataDxfId="366">
      <calculatedColumnFormula>_xlfn.STDEV.S(Table171191822263034214[[#This Row],[Run 1]:[Run 5]])</calculatedColumnFormula>
    </tableColumn>
    <tableColumn id="11" xr3:uid="{C1AE8ED1-66E8-430E-B44E-336ECBBCF6E1}" name="PeakMemoryKB" dataDxfId="365"/>
    <tableColumn id="12" xr3:uid="{AD010961-5D0E-49F0-BF1D-BCB0C0ADA0A5}" name="Major Faults" dataDxfId="364"/>
    <tableColumn id="13" xr3:uid="{F6166297-F51B-4024-8BD9-EBE3AD0E9F0D}" name="Minor Faults" dataDxfId="363"/>
    <tableColumn id="14" xr3:uid="{492CE680-DCDD-47AA-AFBC-4C34F55E1D37}" name="VoluntaryCS" dataDxfId="362"/>
    <tableColumn id="15" xr3:uid="{4FD3E225-819F-4E6E-B74A-BF9C12FF31E4}" name="InvoluntaryCS" dataDxfId="361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0C3245D-9A5B-4880-9CA1-1A7B749FDDE3}" name="Table17116101923273135315" displayName="Table17116101923273135315" ref="A86:O95" totalsRowShown="0" headerRowDxfId="360" dataDxfId="359">
  <autoFilter ref="A86:O95" xr:uid="{D0C3245D-9A5B-4880-9CA1-1A7B749FDDE3}"/>
  <tableColumns count="15">
    <tableColumn id="1" xr3:uid="{FF11B2BD-9CDD-4700-9DD0-50B2016C7A49}" name="Uniform Matrix" dataDxfId="358"/>
    <tableColumn id="2" xr3:uid="{0B4C9748-8920-429A-A086-0A42E11ABBFE}" name="Run 1" dataDxfId="357"/>
    <tableColumn id="3" xr3:uid="{FA7818A3-65CF-4FA4-8160-389F31F18CB1}" name="Run 2" dataDxfId="356"/>
    <tableColumn id="4" xr3:uid="{70DFF9B8-1410-4371-8088-18BC67D7301E}" name="Run 3" dataDxfId="355"/>
    <tableColumn id="5" xr3:uid="{DE1579E7-54FC-49A3-AA44-D108CE6DCF77}" name="Run 4" dataDxfId="354"/>
    <tableColumn id="6" xr3:uid="{92BC8A0C-0D13-48F4-AE1F-91E7838AE8D8}" name="Run 5" dataDxfId="353"/>
    <tableColumn id="7" xr3:uid="{2DE16DC2-149C-4546-B2BF-643AA546907A}" name="Min" dataDxfId="352">
      <calculatedColumnFormula>MIN(Table17116101923273135315[[#This Row],[Run 1]:[Run 5]])</calculatedColumnFormula>
    </tableColumn>
    <tableColumn id="8" xr3:uid="{DD3F0F46-ABEA-45A0-8AF8-5EDBC6A7349D}" name="Max" dataDxfId="351">
      <calculatedColumnFormula>MAX(B87:F88)</calculatedColumnFormula>
    </tableColumn>
    <tableColumn id="9" xr3:uid="{5390C210-01E0-4E31-A3D7-47C0E4D7AE13}" name="Avg." dataDxfId="350">
      <calculatedColumnFormula>AVERAGE(Table17116101923273135315[[#This Row],[Run 1]:[Run 5]])</calculatedColumnFormula>
    </tableColumn>
    <tableColumn id="10" xr3:uid="{E819EB02-EC22-4792-9E41-823B703D2776}" name="St. Dev" dataDxfId="349">
      <calculatedColumnFormula>_xlfn.STDEV.S(Table17116101923273135315[[#This Row],[Run 1]:[Run 5]])</calculatedColumnFormula>
    </tableColumn>
    <tableColumn id="11" xr3:uid="{FC725370-9151-4345-94E6-DF9D8729F9F6}" name="PeakMemoryKB" dataDxfId="348"/>
    <tableColumn id="12" xr3:uid="{D551967A-0920-439B-B765-DB2814040777}" name="Major Faults" dataDxfId="347"/>
    <tableColumn id="13" xr3:uid="{EFA3452B-5AC6-4B28-A22B-399536CC707C}" name="Minor Faults" dataDxfId="346"/>
    <tableColumn id="14" xr3:uid="{DA301914-A75A-48DD-AD4A-CB0AD2209EBF}" name="VoluntaryCS" dataDxfId="345"/>
    <tableColumn id="15" xr3:uid="{79866F78-42F1-4EB0-8A6E-E5C5CB6539B7}" name="InvoluntaryCS" dataDxfId="34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AF0615-19CA-40EE-ABCA-970962DCCBDF}" name="Table17119" displayName="Table17119" ref="A4:O13" totalsRowShown="0" headerRowDxfId="343" dataDxfId="342">
  <autoFilter ref="A4:O13" xr:uid="{8A30D721-F32C-43AA-B66B-F09F1AA17E97}"/>
  <tableColumns count="15">
    <tableColumn id="1" xr3:uid="{0DDFBE02-D6BE-4FE3-A5E9-EDFF5780DDFA}" name="Matrix Array" dataDxfId="341"/>
    <tableColumn id="2" xr3:uid="{C6E69B28-DC43-491C-BEA0-1B1B2C08D224}" name="Run 1" dataDxfId="340"/>
    <tableColumn id="3" xr3:uid="{0DACAEA2-5EAF-4584-AB50-EEE2A96298E0}" name="Run 2" dataDxfId="339"/>
    <tableColumn id="4" xr3:uid="{8FAB1ADA-0E43-4FD3-8634-21EA32693261}" name="Run 3" dataDxfId="338"/>
    <tableColumn id="5" xr3:uid="{D4355A4A-F361-42A1-A938-1CC5BAC14DFB}" name="Run 4" dataDxfId="337"/>
    <tableColumn id="6" xr3:uid="{5DF583FF-4969-4A99-AD49-BB4108E7D473}" name="Run 5" dataDxfId="336"/>
    <tableColumn id="7" xr3:uid="{411CA9FD-9ED2-4A44-BEA5-7D1FC86BFCE3}" name="Min" dataDxfId="335">
      <calculatedColumnFormula>MIN(Table17119[[#This Row],[Run 1]:[Run 5]])</calculatedColumnFormula>
    </tableColumn>
    <tableColumn id="8" xr3:uid="{EC8D2503-B117-4150-9C7B-D29F19672D3F}" name="Max" dataDxfId="334">
      <calculatedColumnFormula>MAX(B5:F6)</calculatedColumnFormula>
    </tableColumn>
    <tableColumn id="9" xr3:uid="{76B6FB39-E1AB-4AC7-87D2-A77579D002CB}" name="Avg." dataDxfId="333">
      <calculatedColumnFormula>AVERAGE(Table17119[[#This Row],[Run 1]:[Run 5]])</calculatedColumnFormula>
    </tableColumn>
    <tableColumn id="10" xr3:uid="{441F84AF-9EB3-4A44-BDE9-B19059307FA3}" name="St. Dev" dataDxfId="332">
      <calculatedColumnFormula>_xlfn.STDEV.S(Table17119[[#This Row],[Run 1]:[Run 5]])</calculatedColumnFormula>
    </tableColumn>
    <tableColumn id="11" xr3:uid="{D049DC20-AE5A-4862-A7D4-C9BD3912077E}" name="PeakMemoryKB" dataDxfId="331"/>
    <tableColumn id="12" xr3:uid="{EEB8E6F5-2A0B-4B7F-A7C9-E738C3C2077F}" name="Major Faults" dataDxfId="330"/>
    <tableColumn id="13" xr3:uid="{841BFA84-7DA3-47C2-978F-7CC0D9B9AFA0}" name="Minor Faults" dataDxfId="329"/>
    <tableColumn id="14" xr3:uid="{D72ED868-6659-4093-A20B-A8811CDC9847}" name="VoluntaryCS" dataDxfId="328"/>
    <tableColumn id="15" xr3:uid="{66E30CF6-B366-4EA2-BC7F-F5A09863BF51}" name="InvoluntaryCS" dataDxfId="327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7FCFA7-6A47-4339-9F09-0FF0E19F2D60}" name="Table1711610" displayName="Table1711610" ref="A17:O26" totalsRowShown="0" headerRowDxfId="326" dataDxfId="325">
  <autoFilter ref="A17:O26" xr:uid="{9F623BF2-B687-490F-9B99-3C6AD8BEB08D}"/>
  <tableColumns count="15">
    <tableColumn id="1" xr3:uid="{4B0C3177-3A47-45DC-A936-8E1B3C34D559}" name="Uniform Matrix" dataDxfId="324"/>
    <tableColumn id="2" xr3:uid="{5AF9A8A7-D0EB-4F81-ABE1-EB37DD16393A}" name="Run 1"/>
    <tableColumn id="3" xr3:uid="{0DD7135B-6717-48AF-B559-1851EB5DBF21}" name="Run 2"/>
    <tableColumn id="4" xr3:uid="{88A61564-A897-4875-A730-6415E4D1E3D0}" name="Run 3"/>
    <tableColumn id="5" xr3:uid="{9D6EE4F1-309C-4BC3-AC7B-CF5A29F30E3E}" name="Run 4"/>
    <tableColumn id="6" xr3:uid="{027284B9-C75D-412B-9D75-D25C07F492C7}" name="Run 5"/>
    <tableColumn id="7" xr3:uid="{E422672D-1589-4D0F-8924-9DBEED680DDB}" name="Min"/>
    <tableColumn id="8" xr3:uid="{97A11DCA-7472-4ED5-8C54-AA11DF7445F2}" name="Max"/>
    <tableColumn id="9" xr3:uid="{C67921F0-AB0D-43C2-AC56-7E8D29B132B2}" name="Avg."/>
    <tableColumn id="10" xr3:uid="{12FE8AFC-89D3-4A8F-B0F8-606E9F86401D}" name="St. Dev"/>
    <tableColumn id="11" xr3:uid="{064C7157-F4FE-4DFE-B662-3A3477FD0C75}" name="PeakMemoryKB"/>
    <tableColumn id="12" xr3:uid="{A3CD1F61-0031-469A-9859-8158DBA47B20}" name="Major Faults"/>
    <tableColumn id="13" xr3:uid="{578FBCB6-56FB-496F-83A1-27D54C9BD6DE}" name="Minor Faults"/>
    <tableColumn id="14" xr3:uid="{2681C497-4AE6-4144-968D-18EA24987ECC}" name="VoluntaryCS"/>
    <tableColumn id="15" xr3:uid="{968598A0-107B-48D5-B4F6-3CD4AEB791B8}" name="InvoluntaryCS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33A30F-5771-48D8-B137-7D55D3EF9E51}" name="Table1711712" displayName="Table1711712" ref="A46:O55" totalsRowShown="0" headerRowDxfId="323" dataDxfId="322">
  <autoFilter ref="A46:O55" xr:uid="{08D1CD23-FFE1-43FB-B36E-78E00E3A271F}"/>
  <tableColumns count="15">
    <tableColumn id="1" xr3:uid="{7D741D0B-1A13-4D54-9372-EA464C264BEB}" name="Nested Matrix" dataDxfId="321"/>
    <tableColumn id="2" xr3:uid="{8DC3028E-2AFA-4F1C-B309-0354F7CF613C}" name="Run 1" dataDxfId="320"/>
    <tableColumn id="3" xr3:uid="{DA453A9A-A2FB-4820-925C-D11905E8CECA}" name="Run 2" dataDxfId="319"/>
    <tableColumn id="4" xr3:uid="{7C8603BD-9540-4E9E-8E26-B749944E5C0D}" name="Run 3" dataDxfId="318"/>
    <tableColumn id="5" xr3:uid="{1609B476-448D-410B-B9BA-48983A7FFAA9}" name="Run 4" dataDxfId="317"/>
    <tableColumn id="6" xr3:uid="{F620BE8C-45B6-45F3-A39B-07B61E208327}" name="Run 5" dataDxfId="316"/>
    <tableColumn id="7" xr3:uid="{6773B140-F415-48B0-8CC5-72827FC747F1}" name="Min" dataDxfId="315">
      <calculatedColumnFormula>MIN(Table1711712[[#This Row],[Run 1]:[Run 5]])</calculatedColumnFormula>
    </tableColumn>
    <tableColumn id="8" xr3:uid="{7D2D6F47-878F-4DE2-8C5E-477F61240F56}" name="Max" dataDxfId="314">
      <calculatedColumnFormula>MAX(B47:F48)</calculatedColumnFormula>
    </tableColumn>
    <tableColumn id="9" xr3:uid="{DDF150B8-EA61-433F-BFCD-8E00EECA584C}" name="Avg." dataDxfId="313">
      <calculatedColumnFormula>AVERAGE(Table1711712[[#This Row],[Run 1]:[Run 5]])</calculatedColumnFormula>
    </tableColumn>
    <tableColumn id="10" xr3:uid="{A227110A-A0B4-4275-ACE4-BEEAF872D9A3}" name="St. Dev" dataDxfId="312">
      <calculatedColumnFormula>_xlfn.STDEV.S(Table1711712[[#This Row],[Run 1]:[Run 5]])</calculatedColumnFormula>
    </tableColumn>
    <tableColumn id="11" xr3:uid="{0A3D1727-A5CE-480E-A7E7-EF93A9A0FA50}" name="PeakMemoryKB" dataDxfId="311"/>
    <tableColumn id="12" xr3:uid="{8FE1D3A1-0F83-4F37-9B08-BE7301C8AC16}" name="Major Faults" dataDxfId="310"/>
    <tableColumn id="13" xr3:uid="{0742480B-3A5D-4592-9543-DE0A03917ADF}" name="Minor Faults" dataDxfId="309"/>
    <tableColumn id="14" xr3:uid="{BE49F13D-A6D0-4184-B80B-42BBFE7A43EF}" name="VoluntaryCS" dataDxfId="308"/>
    <tableColumn id="15" xr3:uid="{AF67A7AF-3E85-4BD7-B74F-D747E9500330}" name="InvoluntaryCS" dataDxfId="307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85D1A12-06F0-4B9E-B2B8-58376E00E928}" name="Table1711813" displayName="Table1711813" ref="A59:O68" totalsRowShown="0" headerRowDxfId="306" dataDxfId="305">
  <autoFilter ref="A59:O68" xr:uid="{9C3E18DB-B77D-4A24-A857-16E0098F9CF8}"/>
  <tableColumns count="15">
    <tableColumn id="1" xr3:uid="{05EE99DE-CCB7-4D07-9A37-1A9536227306}" name="Linked List" dataDxfId="304"/>
    <tableColumn id="2" xr3:uid="{D50C55F0-73EC-412F-A02C-E68F9A8FDA79}" name="Run 1" dataDxfId="303"/>
    <tableColumn id="3" xr3:uid="{F407F226-AE28-4413-BEF6-EEFCA9C8F173}" name="Run 2" dataDxfId="302"/>
    <tableColumn id="4" xr3:uid="{251E22FA-D274-434D-B8E5-9A17A355D998}" name="Run 3" dataDxfId="301"/>
    <tableColumn id="5" xr3:uid="{7A0EF4C9-421D-4AB0-B5AA-538FFBBEECEF}" name="Run 4" dataDxfId="300"/>
    <tableColumn id="6" xr3:uid="{8E6D50A5-7841-46FE-8649-3BC9BA30EA94}" name="Run 5" dataDxfId="299"/>
    <tableColumn id="7" xr3:uid="{28328BC8-9BA9-499A-B857-57B313FFC280}" name="Min" dataDxfId="298">
      <calculatedColumnFormula>MIN(Table1711813[[#This Row],[Run 1]:[Run 5]])</calculatedColumnFormula>
    </tableColumn>
    <tableColumn id="8" xr3:uid="{6CAE08C0-636A-487B-9A35-0DE4D49793CA}" name="Max" dataDxfId="297">
      <calculatedColumnFormula>MAX(B60:F61)</calculatedColumnFormula>
    </tableColumn>
    <tableColumn id="9" xr3:uid="{009D405B-F052-437E-914A-6BB03A3CD823}" name="Avg." dataDxfId="296">
      <calculatedColumnFormula>AVERAGE(Table1711813[[#This Row],[Run 1]:[Run 5]])</calculatedColumnFormula>
    </tableColumn>
    <tableColumn id="10" xr3:uid="{BF0BE24F-2114-4919-BAF2-B6F87D6DFE7C}" name="St. Dev" dataDxfId="295">
      <calculatedColumnFormula>_xlfn.STDEV.S(Table1711813[[#This Row],[Run 1]:[Run 5]])</calculatedColumnFormula>
    </tableColumn>
    <tableColumn id="11" xr3:uid="{3651D619-08D8-444A-8DB3-4BCBDD7EAA34}" name="PeakMemoryKB" dataDxfId="294"/>
    <tableColumn id="12" xr3:uid="{81CB1007-18D6-4727-A38E-C5CCDBC08CF9}" name="Major Faults" dataDxfId="293"/>
    <tableColumn id="13" xr3:uid="{A8AA3EA0-9B3F-4B3B-9848-1FB4EF783722}" name="Minor Faults" dataDxfId="292"/>
    <tableColumn id="14" xr3:uid="{D7778CC2-F032-4F83-B878-CEA6B76113F9}" name="VoluntaryCS" dataDxfId="291"/>
    <tableColumn id="15" xr3:uid="{66303B08-C3E2-40FE-AFD6-98392A45DA02}" name="InvoluntaryCS" dataDxfId="290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684428-EEFE-4A74-AF47-1370B94FA9EB}" name="Table17119182226303424" displayName="Table17119182226303424" ref="A73:O82" totalsRowShown="0" headerRowDxfId="289" dataDxfId="288">
  <autoFilter ref="A73:O82" xr:uid="{BA684428-EEFE-4A74-AF47-1370B94FA9EB}"/>
  <tableColumns count="15">
    <tableColumn id="1" xr3:uid="{ED63CC2B-B819-4C6A-8247-9CCE7FEDC3F2}" name="Matrix Array" dataDxfId="287"/>
    <tableColumn id="2" xr3:uid="{B9AA2DBF-3085-4E3F-AB4E-BC57DD7515AA}" name="Run 1" dataDxfId="286"/>
    <tableColumn id="3" xr3:uid="{5E29DE19-8E15-43A7-81E2-C43E5387F921}" name="Run 2" dataDxfId="285"/>
    <tableColumn id="4" xr3:uid="{3AB846A2-1433-43E0-A2FA-A161D15CE574}" name="Run 3" dataDxfId="284"/>
    <tableColumn id="5" xr3:uid="{65891962-DB0F-43D0-8E54-120FDCAB4A8C}" name="Run 4" dataDxfId="283"/>
    <tableColumn id="6" xr3:uid="{E10F0CA7-192F-42D6-A8C8-4FAB5CCCF71A}" name="Run 5" dataDxfId="282"/>
    <tableColumn id="7" xr3:uid="{F17B6813-80AC-436C-AD00-B5622A216111}" name="Min" dataDxfId="281">
      <calculatedColumnFormula>MIN(Table17119182226303424[[#This Row],[Run 1]:[Run 5]])</calculatedColumnFormula>
    </tableColumn>
    <tableColumn id="8" xr3:uid="{6619A404-4F33-4993-A46A-1B52E3BB9CA8}" name="Max" dataDxfId="280">
      <calculatedColumnFormula>MAX(B74:F75)</calculatedColumnFormula>
    </tableColumn>
    <tableColumn id="9" xr3:uid="{3CF799E3-1AEB-4554-BBCB-55470189869E}" name="Avg." dataDxfId="279">
      <calculatedColumnFormula>AVERAGE(Table17119182226303424[[#This Row],[Run 1]:[Run 5]])</calculatedColumnFormula>
    </tableColumn>
    <tableColumn id="10" xr3:uid="{29D1F1B9-5082-41E9-9572-3AE5B57BCAA0}" name="St. Dev" dataDxfId="278">
      <calculatedColumnFormula>_xlfn.STDEV.S(Table17119182226303424[[#This Row],[Run 1]:[Run 5]])</calculatedColumnFormula>
    </tableColumn>
    <tableColumn id="11" xr3:uid="{0AED68FC-7C95-486D-A5A2-075362DB993B}" name="PeakMemoryKB" dataDxfId="277"/>
    <tableColumn id="12" xr3:uid="{C38D90C8-F8CD-44D9-A945-D489CE83096D}" name="Major Faults" dataDxfId="276"/>
    <tableColumn id="13" xr3:uid="{DD440F54-FC29-4924-9A98-A16D974DBD0D}" name="Minor Faults" dataDxfId="275"/>
    <tableColumn id="14" xr3:uid="{44AF51F8-5CD1-4DA7-8603-78366C0DC44C}" name="VoluntaryCS" dataDxfId="274"/>
    <tableColumn id="15" xr3:uid="{F3C3A449-F34C-467D-90AE-C8680B70DC2A}" name="InvoluntaryCS" dataDxfId="273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DE9E33-C2E8-4060-8003-C8FF7995FFB7}" name="Table1711610192327313535" displayName="Table1711610192327313535" ref="A86:O95" totalsRowShown="0" headerRowDxfId="272" dataDxfId="271">
  <autoFilter ref="A86:O95" xr:uid="{D8DE9E33-C2E8-4060-8003-C8FF7995FFB7}"/>
  <tableColumns count="15">
    <tableColumn id="1" xr3:uid="{BAD39D0D-9A01-4EFE-9166-AB6B068A497D}" name="Uniform Matrix" dataDxfId="270"/>
    <tableColumn id="2" xr3:uid="{EDB4A26B-9A1C-4966-9690-4B364051C03D}" name="Run 1" dataDxfId="269"/>
    <tableColumn id="3" xr3:uid="{905F79E0-4408-452F-88B9-EC51EFC9E892}" name="Run 2" dataDxfId="268"/>
    <tableColumn id="4" xr3:uid="{7D7F45A9-5A95-4DCE-AA17-01559879137E}" name="Run 3" dataDxfId="267"/>
    <tableColumn id="5" xr3:uid="{57E95E55-DDDE-4026-9C25-6FAF3E6EE5EB}" name="Run 4" dataDxfId="266"/>
    <tableColumn id="6" xr3:uid="{D714B194-84FB-49F1-92E7-9E397D320060}" name="Run 5" dataDxfId="265"/>
    <tableColumn id="7" xr3:uid="{4ED002FE-A249-48A7-8C6C-E5E0F2F52FC8}" name="Min" dataDxfId="264">
      <calculatedColumnFormula>MIN(Table1711610192327313535[[#This Row],[Run 1]:[Run 5]])</calculatedColumnFormula>
    </tableColumn>
    <tableColumn id="8" xr3:uid="{F94E4528-64FF-42B1-A3A7-312CCBA8621F}" name="Max" dataDxfId="263">
      <calculatedColumnFormula>MAX(B87:F88)</calculatedColumnFormula>
    </tableColumn>
    <tableColumn id="9" xr3:uid="{E78BBD32-AACC-410F-8DB4-01DAF550A648}" name="Avg." dataDxfId="262">
      <calculatedColumnFormula>AVERAGE(Table1711610192327313535[[#This Row],[Run 1]:[Run 5]])</calculatedColumnFormula>
    </tableColumn>
    <tableColumn id="10" xr3:uid="{F254B413-9186-4D99-9CE3-AFC51197ACBB}" name="St. Dev" dataDxfId="261">
      <calculatedColumnFormula>_xlfn.STDEV.S(Table1711610192327313535[[#This Row],[Run 1]:[Run 5]])</calculatedColumnFormula>
    </tableColumn>
    <tableColumn id="11" xr3:uid="{1C63F457-4CD6-46CD-879F-DBF5CC3E1FC3}" name="PeakMemoryKB" dataDxfId="260"/>
    <tableColumn id="12" xr3:uid="{9EA111D7-CAFD-4939-BAA2-2A50D9CE1625}" name="Major Faults" dataDxfId="259"/>
    <tableColumn id="13" xr3:uid="{288BA7B7-61F3-4284-99B6-1D1644C9D0EC}" name="Minor Faults" dataDxfId="258"/>
    <tableColumn id="14" xr3:uid="{8791524C-81C0-4D9C-9F42-1339432DA946}" name="VoluntaryCS" dataDxfId="257"/>
    <tableColumn id="15" xr3:uid="{D660F5D6-2518-44DB-96E6-CD77C2EEA724}" name="InvoluntaryCS" dataDxfId="256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BC8B7F5-AF28-4C50-B675-44E74A149FAB}" name="Table1711" displayName="Table1711" ref="A4:O13" totalsRowShown="0" headerRowDxfId="255" dataDxfId="254">
  <autoFilter ref="A4:O13" xr:uid="{8A30D721-F32C-43AA-B66B-F09F1AA17E97}"/>
  <tableColumns count="15">
    <tableColumn id="1" xr3:uid="{CC9C9D54-ED68-4D52-899B-F1E830B1AF04}" name="Matrix Array" dataDxfId="253"/>
    <tableColumn id="2" xr3:uid="{81D3DB74-6C05-4C32-A7F7-1D6C3D6CAB93}" name="Run 1" dataDxfId="252"/>
    <tableColumn id="3" xr3:uid="{CD1C9E64-9A23-4297-B420-3AE2D23AE95B}" name="Run 2" dataDxfId="251"/>
    <tableColumn id="4" xr3:uid="{B308B3EB-D94E-4B0E-9D19-0D961C68F4DD}" name="Run 3" dataDxfId="250"/>
    <tableColumn id="5" xr3:uid="{42174C50-8960-4F49-8F73-0A2EB0ABA008}" name="Run 4" dataDxfId="249"/>
    <tableColumn id="6" xr3:uid="{E749F6A0-8901-4513-B5FF-EFC37768E56A}" name="Run 5" dataDxfId="248"/>
    <tableColumn id="7" xr3:uid="{CA87C54C-3BE2-4193-B628-D7C4EC533939}" name="Min" dataDxfId="247">
      <calculatedColumnFormula>MIN(Table1711[[#This Row],[Run 1]:[Run 5]])</calculatedColumnFormula>
    </tableColumn>
    <tableColumn id="8" xr3:uid="{DC854CEC-D9F0-40C3-879A-08D9167FBFED}" name="Max" dataDxfId="246">
      <calculatedColumnFormula>MAX(B5:F6)</calculatedColumnFormula>
    </tableColumn>
    <tableColumn id="9" xr3:uid="{37FF7AC1-B6D6-4709-B488-B2FB011858DB}" name="Avg." dataDxfId="245">
      <calculatedColumnFormula>AVERAGE(Table1711[[#This Row],[Run 1]:[Run 5]])</calculatedColumnFormula>
    </tableColumn>
    <tableColumn id="10" xr3:uid="{8599D4C6-DFC1-4D52-A4B4-19FC4D54C42A}" name="St. Dev" dataDxfId="244">
      <calculatedColumnFormula>_xlfn.STDEV.S(Table1711[[#This Row],[Run 1]:[Run 5]])</calculatedColumnFormula>
    </tableColumn>
    <tableColumn id="11" xr3:uid="{969F7B9F-C071-4DC3-A831-DBB4D506C340}" name="PeakMemoryKB" dataDxfId="243"/>
    <tableColumn id="12" xr3:uid="{62F67D4D-2441-4319-974C-AD53AAE3B3D0}" name="Major Faults" dataDxfId="242"/>
    <tableColumn id="13" xr3:uid="{21720926-8621-4799-A691-730A91851DFF}" name="Minor Faults" dataDxfId="241"/>
    <tableColumn id="14" xr3:uid="{49F91C3E-FC3C-4FA3-8AD1-C6D75F1C6F96}" name="VoluntaryCS" dataDxfId="240"/>
    <tableColumn id="15" xr3:uid="{C96923E1-3190-4BDD-BD2B-9144BA2A4763}" name="InvoluntaryCS" dataDxfId="239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623BF2-B687-490F-9B99-3C6AD8BEB08D}" name="Table17116" displayName="Table17116" ref="A17:O26" totalsRowShown="0" headerRowDxfId="238" dataDxfId="237">
  <autoFilter ref="A17:O26" xr:uid="{9F623BF2-B687-490F-9B99-3C6AD8BEB08D}"/>
  <tableColumns count="15">
    <tableColumn id="1" xr3:uid="{1402C385-A222-4124-887F-1C1A38F27296}" name="Uniform Matrix" dataDxfId="236"/>
    <tableColumn id="2" xr3:uid="{FAF19A42-41AF-4F0D-A9DE-91180CA45CE2}" name="Run 1" dataDxfId="235"/>
    <tableColumn id="3" xr3:uid="{66A309E9-125A-4BA2-8908-AC41B4309A52}" name="Run 2" dataDxfId="234"/>
    <tableColumn id="4" xr3:uid="{8EEF4DFE-29BF-4C3F-9F3A-D69CA086BDE5}" name="Run 3" dataDxfId="233"/>
    <tableColumn id="5" xr3:uid="{5770B0DC-77B1-44C6-9AB0-26FF1ED4EA3D}" name="Run 4" dataDxfId="232"/>
    <tableColumn id="6" xr3:uid="{8EAD9A97-0787-437E-995B-0E8DAEEF25EF}" name="Run 5" dataDxfId="231"/>
    <tableColumn id="7" xr3:uid="{3E8E2263-9059-4BC4-BA38-568C171E748B}" name="Min" dataDxfId="230">
      <calculatedColumnFormula>MIN(Table17116[[#This Row],[Run 1]:[Run 5]])</calculatedColumnFormula>
    </tableColumn>
    <tableColumn id="8" xr3:uid="{B06EF217-6C18-4855-BF7D-51FF71674ED2}" name="Max" dataDxfId="229">
      <calculatedColumnFormula>MAX(B18:F19)</calculatedColumnFormula>
    </tableColumn>
    <tableColumn id="9" xr3:uid="{31AF26D7-0615-41CE-A512-131EA7B16574}" name="Avg." dataDxfId="228">
      <calculatedColumnFormula>AVERAGE(Table17116[[#This Row],[Run 1]:[Run 5]])</calculatedColumnFormula>
    </tableColumn>
    <tableColumn id="10" xr3:uid="{A5CC0D6B-4FB3-4CB9-A2BD-B87DE9349C82}" name="St. Dev" dataDxfId="227">
      <calculatedColumnFormula>_xlfn.STDEV.S(Table17116[[#This Row],[Run 1]:[Run 5]])</calculatedColumnFormula>
    </tableColumn>
    <tableColumn id="11" xr3:uid="{099B5F85-4C1D-469C-B483-D65785590F9B}" name="PeakMemoryKB" dataDxfId="226"/>
    <tableColumn id="12" xr3:uid="{4FD0D3D5-E2E2-4D45-92B5-E83D8DE41E60}" name="Major Faults" dataDxfId="225"/>
    <tableColumn id="13" xr3:uid="{DCA43F4C-890F-4F56-8620-AD2A20637915}" name="Minor Faults" dataDxfId="224"/>
    <tableColumn id="14" xr3:uid="{CEBCD53A-CF24-4BF9-A839-4E35A0BAA291}" name="VoluntaryCS" dataDxfId="223"/>
    <tableColumn id="15" xr3:uid="{C309A0AC-51EB-42E6-A781-E7BC6C347D2A}" name="InvoluntaryCS" dataDxfId="222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D1CD23-FFE1-43FB-B36E-78E00E3A271F}" name="Table17117" displayName="Table17117" ref="A30:O39" totalsRowShown="0" headerRowDxfId="221" dataDxfId="220">
  <autoFilter ref="A30:O39" xr:uid="{08D1CD23-FFE1-43FB-B36E-78E00E3A271F}"/>
  <tableColumns count="15">
    <tableColumn id="1" xr3:uid="{24A48C32-EC75-44D2-ACAF-00D71429E2BD}" name="Nested Matrix" dataDxfId="219"/>
    <tableColumn id="2" xr3:uid="{CBB7A5ED-19C2-4E66-B508-E54795428174}" name="Run 1" dataDxfId="218"/>
    <tableColumn id="3" xr3:uid="{260E18AE-9C3D-4310-B180-3891A969A901}" name="Run 2" dataDxfId="217"/>
    <tableColumn id="4" xr3:uid="{8717ED9D-1E12-4319-990E-B4D6F0EBCD1B}" name="Run 3" dataDxfId="216"/>
    <tableColumn id="5" xr3:uid="{93308275-8C61-42BB-9401-6A2B2BA68570}" name="Run 4" dataDxfId="215"/>
    <tableColumn id="6" xr3:uid="{C1B34C6E-CB6C-4ED0-B034-ACB9DACCB8A8}" name="Run 5" dataDxfId="214"/>
    <tableColumn id="7" xr3:uid="{870A5BD2-B53B-42E5-831E-A97588DB772D}" name="Min" dataDxfId="213">
      <calculatedColumnFormula>MIN(Table17117[[#This Row],[Run 1]:[Run 5]])</calculatedColumnFormula>
    </tableColumn>
    <tableColumn id="8" xr3:uid="{62CB6CBC-225A-4525-B250-54FF12875F82}" name="Max" dataDxfId="212">
      <calculatedColumnFormula>MAX(B31:F32)</calculatedColumnFormula>
    </tableColumn>
    <tableColumn id="9" xr3:uid="{C6BE27B6-C384-44E7-A455-4F7EEEE7CB5A}" name="Avg." dataDxfId="211">
      <calculatedColumnFormula>AVERAGE(Table17117[[#This Row],[Run 1]:[Run 5]])</calculatedColumnFormula>
    </tableColumn>
    <tableColumn id="10" xr3:uid="{0D2EF980-E8E5-41EF-8621-4C1E5220C373}" name="St. Dev" dataDxfId="210">
      <calculatedColumnFormula>_xlfn.STDEV.S(Table17117[[#This Row],[Run 1]:[Run 5]])</calculatedColumnFormula>
    </tableColumn>
    <tableColumn id="11" xr3:uid="{B5E32C11-FED0-4C0E-B920-475533D36A91}" name="PeakMemoryKB" dataDxfId="209"/>
    <tableColumn id="12" xr3:uid="{077E7E09-45FD-4CC0-9502-0ECD7CE5DD98}" name="Major Faults" dataDxfId="208"/>
    <tableColumn id="13" xr3:uid="{9D705969-FE6A-4733-AD5C-887BF9BBCACF}" name="Minor Faults" dataDxfId="207"/>
    <tableColumn id="14" xr3:uid="{5AB21CAD-663C-40AA-AC13-78EFCE3F08A2}" name="VoluntaryCS" dataDxfId="206"/>
    <tableColumn id="15" xr3:uid="{C05306ED-383E-4C4B-B5CB-7B5FC3268C70}" name="InvoluntaryCS" dataDxfId="205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3E18DB-B77D-4A24-A857-16E0098F9CF8}" name="Table17118" displayName="Table17118" ref="A43:O52" totalsRowShown="0" headerRowDxfId="204" dataDxfId="203">
  <autoFilter ref="A43:O52" xr:uid="{9C3E18DB-B77D-4A24-A857-16E0098F9CF8}"/>
  <tableColumns count="15">
    <tableColumn id="1" xr3:uid="{A08EC456-C4CC-4804-B0D9-EA20997FD702}" name="Linked List" dataDxfId="202"/>
    <tableColumn id="2" xr3:uid="{502032CA-B4C5-46B2-B151-E022192FC7FC}" name="Run 1" dataDxfId="201"/>
    <tableColumn id="3" xr3:uid="{A9064753-002B-4348-8CCE-DFD62D7D4FD4}" name="Run 2" dataDxfId="200"/>
    <tableColumn id="4" xr3:uid="{29BA6006-CEEF-4281-9938-F382A89F6D9A}" name="Run 3" dataDxfId="199"/>
    <tableColumn id="5" xr3:uid="{187E34D6-BAB3-4B57-AE70-917284EDE836}" name="Run 4" dataDxfId="198"/>
    <tableColumn id="6" xr3:uid="{973A679E-AE43-4BEB-A95D-DC1609CA44F8}" name="Run 5" dataDxfId="197"/>
    <tableColumn id="7" xr3:uid="{6D7F244E-6843-4B7B-BEB2-4FB25E33618B}" name="Min" dataDxfId="196">
      <calculatedColumnFormula>MIN(Table17118[[#This Row],[Run 1]:[Run 5]])</calculatedColumnFormula>
    </tableColumn>
    <tableColumn id="8" xr3:uid="{F059B094-DA23-43CD-A265-67819FFBEA77}" name="Max" dataDxfId="195">
      <calculatedColumnFormula>MAX(B44:F45)</calculatedColumnFormula>
    </tableColumn>
    <tableColumn id="9" xr3:uid="{CBDE0687-B01E-4C81-8B20-DE02BB7ADCB0}" name="Avg." dataDxfId="194">
      <calculatedColumnFormula>AVERAGE(Table17118[[#This Row],[Run 1]:[Run 5]])</calculatedColumnFormula>
    </tableColumn>
    <tableColumn id="10" xr3:uid="{07B9FB70-124B-4338-952A-DA3EFD61A7C9}" name="St. Dev" dataDxfId="193">
      <calculatedColumnFormula>_xlfn.STDEV.S(Table17118[[#This Row],[Run 1]:[Run 5]])</calculatedColumnFormula>
    </tableColumn>
    <tableColumn id="11" xr3:uid="{9C59BC7F-3CEF-47A1-98D6-F687DB1269D8}" name="PeakMemoryKB" dataDxfId="192"/>
    <tableColumn id="12" xr3:uid="{F758D3F0-A211-452C-AFC6-64A51CA4AF23}" name="Major Faults" dataDxfId="191"/>
    <tableColumn id="13" xr3:uid="{90934E9E-C025-4B75-8001-60F5715698A0}" name="Minor Faults" dataDxfId="190"/>
    <tableColumn id="14" xr3:uid="{0C37C1F9-520C-486A-8ADD-5C454C5ADC1D}" name="VoluntaryCS" dataDxfId="189"/>
    <tableColumn id="15" xr3:uid="{B00D7AAF-DAAE-4EA9-BC42-DE6541CAC2F5}" name="InvoluntaryCS" dataDxfId="188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59B8A7B-2602-465E-9324-DFA12995482E}" name="Table1711918222630342141617" displayName="Table1711918222630342141617" ref="A58:O67" totalsRowShown="0" headerRowDxfId="187" dataDxfId="186">
  <autoFilter ref="A58:O67" xr:uid="{859B8A7B-2602-465E-9324-DFA12995482E}"/>
  <tableColumns count="15">
    <tableColumn id="1" xr3:uid="{FC18A4E0-9E27-4E15-8275-760BB8230FCC}" name="Matrix Array" dataDxfId="185"/>
    <tableColumn id="2" xr3:uid="{DB3CDCE8-905A-470E-A063-A17E9FDCF1F4}" name="Run 1" dataDxfId="184"/>
    <tableColumn id="3" xr3:uid="{34FF8FFF-D19F-49BC-B80C-619847A7ABC7}" name="Run 2" dataDxfId="183"/>
    <tableColumn id="4" xr3:uid="{1D9D53EF-E4DB-4F5A-B0BB-50892DA6C4B4}" name="Run 3" dataDxfId="182"/>
    <tableColumn id="5" xr3:uid="{69778B5B-ADFD-42E9-9187-570B15594885}" name="Run 4" dataDxfId="181"/>
    <tableColumn id="6" xr3:uid="{E35C61E7-397A-449B-AA53-925965BBC08F}" name="Run 5" dataDxfId="180"/>
    <tableColumn id="7" xr3:uid="{D263D6EC-527A-45F9-B0D2-E089A8723E93}" name="Min" dataDxfId="179">
      <calculatedColumnFormula>MIN(Table1711918222630342141617[[#This Row],[Run 1]:[Run 5]])</calculatedColumnFormula>
    </tableColumn>
    <tableColumn id="8" xr3:uid="{31B3428F-9044-44A3-A6D5-E79529647FBA}" name="Max" dataDxfId="178">
      <calculatedColumnFormula>MAX(B59:F60)</calculatedColumnFormula>
    </tableColumn>
    <tableColumn id="9" xr3:uid="{3C8A54C7-7D4F-482B-84B4-E0307169DEBC}" name="Avg." dataDxfId="177">
      <calculatedColumnFormula>AVERAGE(Table1711918222630342141617[[#This Row],[Run 1]:[Run 5]])</calculatedColumnFormula>
    </tableColumn>
    <tableColumn id="10" xr3:uid="{CEAEF575-BB80-45AE-ADF1-8071A1421318}" name="St. Dev" dataDxfId="176">
      <calculatedColumnFormula>_xlfn.STDEV.S(Table1711918222630342141617[[#This Row],[Run 1]:[Run 5]])</calculatedColumnFormula>
    </tableColumn>
    <tableColumn id="11" xr3:uid="{F4603965-422C-4DCE-B500-19D64F371B1D}" name="PeakMemoryKB" dataDxfId="175"/>
    <tableColumn id="12" xr3:uid="{5F339A13-59FD-4CF9-BC8A-DA4D515776EA}" name="Major Faults" dataDxfId="174"/>
    <tableColumn id="13" xr3:uid="{AE764954-CACE-496D-BE57-C136D78D9EB8}" name="Minor Faults" dataDxfId="173"/>
    <tableColumn id="14" xr3:uid="{69C220B1-0799-468A-AA53-B5DC5E6333B8}" name="VoluntaryCS" dataDxfId="172"/>
    <tableColumn id="15" xr3:uid="{0DED4150-5C71-4C22-A71C-1C2F1BBF80B9}" name="InvoluntaryCS" dataDxfId="171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78F35F0-A9FA-4471-93AD-BECEC8F874EF}" name="Table1711918222630" displayName="Table1711918222630" ref="A4:P14" totalsRowShown="0" headerRowDxfId="170" dataDxfId="169">
  <autoFilter ref="A4:P14" xr:uid="{8A30D721-F32C-43AA-B66B-F09F1AA17E97}"/>
  <tableColumns count="16">
    <tableColumn id="1" xr3:uid="{D0CACFE1-F450-477A-AB6B-11AE5B4B18FD}" name="Matrix Array" dataDxfId="168"/>
    <tableColumn id="2" xr3:uid="{DDD4072B-6D8E-4D96-8D0E-75DDE8F17449}" name="Run 1" dataDxfId="167"/>
    <tableColumn id="3" xr3:uid="{97BB939B-8E66-4E20-B3AF-0EB0328F2C38}" name="Run 2" dataDxfId="166"/>
    <tableColumn id="4" xr3:uid="{1F49D18D-202F-4A56-AB2C-C4DF0E4A70CD}" name="Run 3" dataDxfId="165"/>
    <tableColumn id="5" xr3:uid="{70FE2A4A-EE6E-4F0E-9871-71F138F069A6}" name="Run 4" dataDxfId="164"/>
    <tableColumn id="6" xr3:uid="{C798FA46-B260-4B81-8092-C3C60A523538}" name="Run 5" dataDxfId="163"/>
    <tableColumn id="7" xr3:uid="{461FEC90-3E23-4EBC-93EF-60E3323ACCC6}" name="Min" dataDxfId="162">
      <calculatedColumnFormula>MIN(Table1711918222630[[#This Row],[Run 1]:[Run 5]])</calculatedColumnFormula>
    </tableColumn>
    <tableColumn id="8" xr3:uid="{34EECA22-5F9E-4B74-A853-97ACBADD750C}" name="Max" dataDxfId="161">
      <calculatedColumnFormula>MAX(B5:F6)</calculatedColumnFormula>
    </tableColumn>
    <tableColumn id="9" xr3:uid="{3CFEDDFC-0CC1-489D-ABB5-ECB49A67DE8E}" name="Avg." dataDxfId="160">
      <calculatedColumnFormula>AVERAGE(Table1711918222630[[#This Row],[Run 1]:[Run 5]])</calculatedColumnFormula>
    </tableColumn>
    <tableColumn id="10" xr3:uid="{9DBBDA34-4959-4321-B562-C07A5CC0FF2A}" name="St. Dev" dataDxfId="159">
      <calculatedColumnFormula>_xlfn.STDEV.S(Table1711918222630[[#This Row],[Run 1]:[Run 5]])</calculatedColumnFormula>
    </tableColumn>
    <tableColumn id="11" xr3:uid="{F9FEF2D0-016D-451B-8C0A-D34F6980AEEE}" name="PeakMemoryKB" dataDxfId="158">
      <calculatedColumnFormula>AVERAGE(OFFSET(R$3:R$7, (ROW()-ROW($R$3)), 0, 5))</calculatedColumnFormula>
    </tableColumn>
    <tableColumn id="12" xr3:uid="{B0BFB9EB-9CB1-42B8-9ABD-127454386D34}" name="Major Faults" dataDxfId="157"/>
    <tableColumn id="13" xr3:uid="{EA44CFC3-0C31-4F06-8799-95C4E035C6CC}" name="Minor Faults" dataDxfId="156"/>
    <tableColumn id="14" xr3:uid="{30F84C2B-7271-4AA4-A76C-F594056F87CF}" name="VoluntaryCS" dataDxfId="155"/>
    <tableColumn id="15" xr3:uid="{9C70B166-7F17-43CE-AF6F-D82763F5748D}" name="InvoluntaryCS" dataDxfId="154"/>
    <tableColumn id="16" xr3:uid="{DA946E7B-2F9B-4D3D-A278-1391CFF5E843}" name="CPU (%)" dataDxfId="153">
      <calculatedColumnFormula>AVERAGE(Q2:Q6)</calculatedColumnFormula>
    </tableColumn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ACCC4C1-B280-4B74-AF42-706E725C81FF}" name="Table171161019232731" displayName="Table171161019232731" ref="A17:O26" totalsRowShown="0" headerRowDxfId="152" dataDxfId="151">
  <autoFilter ref="A17:O26" xr:uid="{9F623BF2-B687-490F-9B99-3C6AD8BEB08D}"/>
  <tableColumns count="15">
    <tableColumn id="1" xr3:uid="{AC5B9762-1EF9-4F3B-8B4F-1960B5F56C77}" name="Uniform Nodes" dataDxfId="150"/>
    <tableColumn id="2" xr3:uid="{6B0AA04A-4E29-4E9C-9D16-B072CCB571BE}" name="Run 1" dataDxfId="149"/>
    <tableColumn id="3" xr3:uid="{B9455698-2729-4A94-BCE4-9CCB5239AFFF}" name="Run 2" dataDxfId="148"/>
    <tableColumn id="4" xr3:uid="{9D60704F-F438-448F-86A6-0629627140BA}" name="Run 3" dataDxfId="147"/>
    <tableColumn id="5" xr3:uid="{B182EE38-631F-4C83-AB30-56EBC726E403}" name="Run 4" dataDxfId="146"/>
    <tableColumn id="6" xr3:uid="{08BA609E-10C6-4E02-93DE-B94CCE88BB23}" name="Run 5" dataDxfId="145"/>
    <tableColumn id="7" xr3:uid="{7584DF07-42FA-46CA-A282-89A829187DFB}" name="Min" dataDxfId="144">
      <calculatedColumnFormula>MIN(Table171161019232731[[#This Row],[Run 1]:[Run 5]])</calculatedColumnFormula>
    </tableColumn>
    <tableColumn id="8" xr3:uid="{C3E93112-2DE7-4E0E-A660-5E588E44EF89}" name="Max" dataDxfId="143">
      <calculatedColumnFormula>MAX(B18:F19)</calculatedColumnFormula>
    </tableColumn>
    <tableColumn id="9" xr3:uid="{E69C0C6F-6994-482E-9DEE-6D6133E0542A}" name="Avg." dataDxfId="142">
      <calculatedColumnFormula>AVERAGE(Table171161019232731[[#This Row],[Run 1]:[Run 5]])</calculatedColumnFormula>
    </tableColumn>
    <tableColumn id="10" xr3:uid="{9ECFCF03-E3C8-4EA9-BA70-60D0DAE7F75A}" name="St. Dev" dataDxfId="141">
      <calculatedColumnFormula>_xlfn.STDEV.S(Table171161019232731[[#This Row],[Run 1]:[Run 5]])</calculatedColumnFormula>
    </tableColumn>
    <tableColumn id="11" xr3:uid="{670F5CA0-E5D0-4334-9B52-2A89AD5F1C5D}" name="PeakMemoryKB" dataDxfId="140">
      <calculatedColumnFormula>Z30</calculatedColumnFormula>
    </tableColumn>
    <tableColumn id="12" xr3:uid="{9854CDF4-EB58-439B-A71E-C9DA7DF20436}" name="Major Faults" dataDxfId="139"/>
    <tableColumn id="13" xr3:uid="{FE6FB158-D38A-4245-820C-C107BD73284A}" name="Minor Faults" dataDxfId="138"/>
    <tableColumn id="14" xr3:uid="{05DECC81-720B-441F-8846-2F1A7ED56250}" name="VoluntaryCS" dataDxfId="137"/>
    <tableColumn id="15" xr3:uid="{604C8480-DE2E-41A7-B4B8-A3B2C665DF0D}" name="InvoluntaryCS" dataDxfId="136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1108E07-EABE-428D-BDB6-C3DF4893AD11}" name="Table171171220242832" displayName="Table171171220242832" ref="A29:O39" totalsRowShown="0" headerRowDxfId="135" dataDxfId="134">
  <autoFilter ref="A29:O39" xr:uid="{08D1CD23-FFE1-43FB-B36E-78E00E3A271F}"/>
  <tableColumns count="15">
    <tableColumn id="1" xr3:uid="{5DD089D8-B350-4FBA-8BC1-8CDE538B5F7E}" name="Memory Stress" dataDxfId="133"/>
    <tableColumn id="2" xr3:uid="{B3B7BA16-F36B-4BF2-BD04-8891858D516C}" name="Run 1" dataDxfId="132"/>
    <tableColumn id="3" xr3:uid="{E6B9F6C5-2F82-47D6-BFBE-F14F1714953A}" name="Run 2" dataDxfId="131"/>
    <tableColumn id="4" xr3:uid="{B95E0DAF-9FE3-4C94-AFC3-CCBE963488CF}" name="Run 3" dataDxfId="130"/>
    <tableColumn id="5" xr3:uid="{EEF55866-1B83-4460-ACE9-18B62D91A296}" name="Run 4" dataDxfId="129"/>
    <tableColumn id="6" xr3:uid="{B390F4A5-234B-4416-8C0A-8526913E99E9}" name="Run 5" dataDxfId="128"/>
    <tableColumn id="7" xr3:uid="{2F3EDAD9-310D-47B8-8F08-097781BC3B2C}" name="Min" dataDxfId="127">
      <calculatedColumnFormula>MIN(Table171171220242832[[#This Row],[Run 1]:[Run 5]])</calculatedColumnFormula>
    </tableColumn>
    <tableColumn id="8" xr3:uid="{BCBE8653-0A37-44FF-B25B-F2EA6C471FC1}" name="Max" dataDxfId="126">
      <calculatedColumnFormula>MAX(B30:F31)</calculatedColumnFormula>
    </tableColumn>
    <tableColumn id="9" xr3:uid="{392EA991-1278-4E28-A05B-007A27C0DF72}" name="Avg." dataDxfId="125">
      <calculatedColumnFormula>AVERAGE(Table171171220242832[[#This Row],[Run 1]:[Run 5]])</calculatedColumnFormula>
    </tableColumn>
    <tableColumn id="10" xr3:uid="{6DAF62D8-97E1-4B27-96D7-18BDA748693E}" name="St. Dev" dataDxfId="124">
      <calculatedColumnFormula>_xlfn.STDEV.S(Table171171220242832[[#This Row],[Run 1]:[Run 5]])</calculatedColumnFormula>
    </tableColumn>
    <tableColumn id="11" xr3:uid="{B43B9356-13C1-4E8E-89E8-C45DB6B8CFE8}" name="PeakMemoryKB" dataDxfId="123">
      <calculatedColumnFormula>AH7</calculatedColumnFormula>
    </tableColumn>
    <tableColumn id="12" xr3:uid="{ECD6E45E-CC56-4D71-87D3-D8CBEF131286}" name="Major Faults" dataDxfId="122"/>
    <tableColumn id="13" xr3:uid="{ADBCE82D-C5A6-4EF2-A00F-7950B93A6327}" name="Minor Faults" dataDxfId="121"/>
    <tableColumn id="14" xr3:uid="{8E016896-51FF-40CB-936C-27D634A50D2D}" name="VoluntaryCS" dataDxfId="120"/>
    <tableColumn id="15" xr3:uid="{5226BDAC-19CC-49B6-AD8C-9DA52B5836DA}" name="InvoluntaryCS" dataDxfId="119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8958ACF-DB14-458C-A206-DFCDE3B14FB0}" name="Table171181321252933" displayName="Table171181321252933" ref="A42:O52" totalsRowShown="0" headerRowDxfId="118" dataDxfId="117">
  <autoFilter ref="A42:O52" xr:uid="{9C3E18DB-B77D-4A24-A857-16E0098F9CF8}"/>
  <tableColumns count="15">
    <tableColumn id="1" xr3:uid="{B33064B9-9DF9-46DD-9B5C-12ABA28F9A2C}" name="Linked List" dataDxfId="116"/>
    <tableColumn id="2" xr3:uid="{7AA2D4CC-4468-482B-BA44-45DC97816EB9}" name="Run 1" dataDxfId="115"/>
    <tableColumn id="3" xr3:uid="{1323A865-9433-45BD-9137-67F7F3BC2E71}" name="Run 2" dataDxfId="114"/>
    <tableColumn id="4" xr3:uid="{597F8F64-809D-45D5-B06C-7D05360F3246}" name="Run 3" dataDxfId="113"/>
    <tableColumn id="5" xr3:uid="{7D2E2054-7ABF-4669-A083-00BBC7D87C62}" name="Run 4" dataDxfId="112"/>
    <tableColumn id="6" xr3:uid="{A0078594-AD7A-436F-8973-11BAE12CBB69}" name="Run 5" dataDxfId="111"/>
    <tableColumn id="7" xr3:uid="{4F507D7C-151A-432A-A977-009C9FF0CBB5}" name="Min" dataDxfId="110">
      <calculatedColumnFormula>MIN(Table171181321252933[[#This Row],[Run 1]:[Run 5]])</calculatedColumnFormula>
    </tableColumn>
    <tableColumn id="8" xr3:uid="{008E0A68-2466-4460-B598-05EED851DA77}" name="Max" dataDxfId="109">
      <calculatedColumnFormula>MAX(B43:F44)</calculatedColumnFormula>
    </tableColumn>
    <tableColumn id="9" xr3:uid="{78B3E511-8043-483B-8F04-A67ACBA5E81B}" name="Avg." dataDxfId="108">
      <calculatedColumnFormula>AVERAGE(Table171181321252933[[#This Row],[Run 1]:[Run 5]])</calculatedColumnFormula>
    </tableColumn>
    <tableColumn id="10" xr3:uid="{EF8217C8-0875-41B2-881B-F24EF86CF341}" name="St. Dev" dataDxfId="107">
      <calculatedColumnFormula>_xlfn.STDEV.S(Table171181321252933[[#This Row],[Run 1]:[Run 5]])</calculatedColumnFormula>
    </tableColumn>
    <tableColumn id="11" xr3:uid="{AAA8046E-F66E-49C4-8045-0E6F8E7562FD}" name="PeakMemoryKB" dataDxfId="106">
      <calculatedColumnFormula>AP7</calculatedColumnFormula>
    </tableColumn>
    <tableColumn id="12" xr3:uid="{9CE26372-4809-4763-B769-5040C72AB168}" name="Major Faults" dataDxfId="105"/>
    <tableColumn id="13" xr3:uid="{2E18351B-D17F-4E4F-8ED2-225B74BEBEE6}" name="Minor Faults" dataDxfId="104"/>
    <tableColumn id="14" xr3:uid="{C8359748-3F67-443C-9429-A03EB405C6B4}" name="VoluntaryCS" dataDxfId="103"/>
    <tableColumn id="15" xr3:uid="{5043ABA7-A962-4722-897D-37166B142DA1}" name="InvoluntaryCS" dataDxfId="102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1951B92-2979-4D7B-B6FE-69BC94CE4141}" name="Table17119182226303421416" displayName="Table17119182226303421416" ref="A58:O67" totalsRowShown="0" headerRowDxfId="101" dataDxfId="100">
  <autoFilter ref="A58:O67" xr:uid="{E1951B92-2979-4D7B-B6FE-69BC94CE4141}"/>
  <tableColumns count="15">
    <tableColumn id="1" xr3:uid="{8FDB92D4-045F-4215-AF67-7D53A946470B}" name="Matrix Array" dataDxfId="99"/>
    <tableColumn id="2" xr3:uid="{A7B03266-9F87-45BC-93FB-B6952200758D}" name="Run 1" dataDxfId="98"/>
    <tableColumn id="3" xr3:uid="{B4EC7288-89B9-4E38-AFE9-FF6BFAD73628}" name="Run 2" dataDxfId="97"/>
    <tableColumn id="4" xr3:uid="{F0BA32AE-A178-49A7-A5D0-F1A79B05E2FA}" name="Run 3" dataDxfId="96"/>
    <tableColumn id="5" xr3:uid="{80E71BAC-C488-4A68-A413-0630A7B67D3D}" name="Run 4" dataDxfId="95"/>
    <tableColumn id="6" xr3:uid="{57183DC2-C74B-4FF5-821D-6FC57917F799}" name="Run 5" dataDxfId="94"/>
    <tableColumn id="7" xr3:uid="{31772E39-14FE-4DD4-8170-DA5ACDF38570}" name="Min" dataDxfId="93">
      <calculatedColumnFormula>MIN(Table17119182226303421416[[#This Row],[Run 1]:[Run 5]])</calculatedColumnFormula>
    </tableColumn>
    <tableColumn id="8" xr3:uid="{6630936E-4744-455F-84AC-B71B32F38B3E}" name="Max" dataDxfId="92">
      <calculatedColumnFormula>MAX(B59:F60)</calculatedColumnFormula>
    </tableColumn>
    <tableColumn id="9" xr3:uid="{5DECB2E9-4DB5-42F8-9472-DC3AFF173BA9}" name="Avg." dataDxfId="91">
      <calculatedColumnFormula>AVERAGE(Table17119182226303421416[[#This Row],[Run 1]:[Run 5]])</calculatedColumnFormula>
    </tableColumn>
    <tableColumn id="10" xr3:uid="{F8268FD9-7523-4927-A24D-6E60C7A3E9FE}" name="St. Dev" dataDxfId="90">
      <calculatedColumnFormula>_xlfn.STDEV.S(Table17119182226303421416[[#This Row],[Run 1]:[Run 5]])</calculatedColumnFormula>
    </tableColumn>
    <tableColumn id="11" xr3:uid="{D2C27937-6539-41CC-8564-A1E42477BFAF}" name="PeakMemoryKB" dataDxfId="89"/>
    <tableColumn id="12" xr3:uid="{D536689D-12E2-4E43-B8F7-AA309E319CF0}" name="Major Faults" dataDxfId="88"/>
    <tableColumn id="13" xr3:uid="{7AD88D70-0C92-456F-AE75-EE1765E09C5F}" name="Minor Faults" dataDxfId="87"/>
    <tableColumn id="14" xr3:uid="{BF3B58E5-50B5-4C8A-A43B-D1F796DC4DB8}" name="VoluntaryCS" dataDxfId="86"/>
    <tableColumn id="15" xr3:uid="{E642CC1C-3E0D-47CC-B1F6-65E5FA0A9973}" name="InvoluntaryCS" dataDxfId="85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8BCAD0D-F61E-4963-BA31-30BC1BCAF565}" name="Table171191822263034" displayName="Table171191822263034" ref="A4:O13" totalsRowShown="0" headerRowDxfId="84" dataDxfId="83">
  <autoFilter ref="A4:O13" xr:uid="{8A30D721-F32C-43AA-B66B-F09F1AA17E97}"/>
  <tableColumns count="15">
    <tableColumn id="1" xr3:uid="{2844D9C8-4F4D-45CB-8208-1C3F4723FE22}" name="Matrix Array" dataDxfId="82"/>
    <tableColumn id="2" xr3:uid="{4BE3A87F-189E-4AAE-A3A0-2200F87CB340}" name="Run 1" dataDxfId="81"/>
    <tableColumn id="3" xr3:uid="{411141C8-F0D8-4901-84DE-071040B1DBC9}" name="Run 2" dataDxfId="80"/>
    <tableColumn id="4" xr3:uid="{DE090B26-19D4-4C67-9C33-9A841C23A290}" name="Run 3" dataDxfId="79"/>
    <tableColumn id="5" xr3:uid="{FBA485E2-496C-40AA-83F1-CA697B1BC134}" name="Run 4" dataDxfId="78"/>
    <tableColumn id="6" xr3:uid="{BBFAF476-9539-414D-95A0-E70E7691DAC5}" name="Run 5" dataDxfId="77"/>
    <tableColumn id="7" xr3:uid="{E2AA0C94-6B93-46DE-9D84-F1D7B4EB21D4}" name="Min" dataDxfId="76">
      <calculatedColumnFormula>MIN(Table171191822263034[[#This Row],[Run 1]:[Run 5]])</calculatedColumnFormula>
    </tableColumn>
    <tableColumn id="8" xr3:uid="{DB9253D3-F2F7-4041-A3AB-6F53B7C0FD24}" name="Max" dataDxfId="75">
      <calculatedColumnFormula>MAX(B5:F6)</calculatedColumnFormula>
    </tableColumn>
    <tableColumn id="9" xr3:uid="{18A7A518-44D9-475F-809C-13AB7AC02288}" name="Avg." dataDxfId="74">
      <calculatedColumnFormula>AVERAGE(Table171191822263034[[#This Row],[Run 1]:[Run 5]])</calculatedColumnFormula>
    </tableColumn>
    <tableColumn id="10" xr3:uid="{AD954CA5-9F85-4F26-9F7B-EB427EA5D21F}" name="St. Dev" dataDxfId="73">
      <calculatedColumnFormula>_xlfn.STDEV.S(Table171191822263034[[#This Row],[Run 1]:[Run 5]])</calculatedColumnFormula>
    </tableColumn>
    <tableColumn id="11" xr3:uid="{9A8F8FD6-CF92-4D7E-BDEA-3772A65DB502}" name="PeakMemoryKB" dataDxfId="72"/>
    <tableColumn id="12" xr3:uid="{ED7BB768-3715-4FA7-AEEC-2EFAE14DB7EC}" name="Major Faults" dataDxfId="71"/>
    <tableColumn id="13" xr3:uid="{07078B0B-7EED-48AF-ACC0-4C3B40D9FBE3}" name="Minor Faults" dataDxfId="70"/>
    <tableColumn id="14" xr3:uid="{CC9C925F-77F6-404C-8345-33F4086C1376}" name="VoluntaryCS" dataDxfId="69"/>
    <tableColumn id="15" xr3:uid="{EB0EDC9E-2B50-4A58-8642-C34D74D6360F}" name="InvoluntaryCS" dataDxfId="68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72E3AEC-D120-4DD5-98A9-81AFAF3F9928}" name="Table17116101923273135" displayName="Table17116101923273135" ref="A17:O26" totalsRowShown="0" headerRowDxfId="67" dataDxfId="66">
  <autoFilter ref="A17:O26" xr:uid="{9F623BF2-B687-490F-9B99-3C6AD8BEB08D}"/>
  <tableColumns count="15">
    <tableColumn id="1" xr3:uid="{F1C46441-D00F-4B5A-A91E-F346A1DD7DF4}" name="Uniform Matrix" dataDxfId="65"/>
    <tableColumn id="2" xr3:uid="{3DAF2A4B-C6BF-49B4-8D04-B6126D4E1036}" name="Run 1" dataDxfId="64"/>
    <tableColumn id="3" xr3:uid="{2B19DFDD-7116-4288-87F6-EF772F1FA390}" name="Run 2" dataDxfId="63"/>
    <tableColumn id="4" xr3:uid="{54F67C13-6DAF-42B5-A47A-7C38D42231D8}" name="Run 3" dataDxfId="62"/>
    <tableColumn id="5" xr3:uid="{1B5B587E-5A13-4C3B-A3A7-55629E0142B3}" name="Run 4" dataDxfId="61"/>
    <tableColumn id="6" xr3:uid="{FF6856D6-F7B4-4E3C-BD7B-295B90B0D856}" name="Run 5" dataDxfId="60"/>
    <tableColumn id="7" xr3:uid="{6A2382FF-3720-4C10-8C82-B63258425C97}" name="Min" dataDxfId="59">
      <calculatedColumnFormula>MIN(Table17116101923273135[[#This Row],[Run 1]:[Run 5]])</calculatedColumnFormula>
    </tableColumn>
    <tableColumn id="8" xr3:uid="{190C982B-C82D-429C-8B66-017C0D46EDBE}" name="Max" dataDxfId="58">
      <calculatedColumnFormula>MAX(B18:F19)</calculatedColumnFormula>
    </tableColumn>
    <tableColumn id="9" xr3:uid="{F98F17CB-DF02-4717-B02C-414D5585289D}" name="Avg." dataDxfId="57">
      <calculatedColumnFormula>AVERAGE(Table17116101923273135[[#This Row],[Run 1]:[Run 5]])</calculatedColumnFormula>
    </tableColumn>
    <tableColumn id="10" xr3:uid="{51AD51A5-FC93-4C4E-AC09-C46192E3992A}" name="St. Dev" dataDxfId="56">
      <calculatedColumnFormula>_xlfn.STDEV.S(Table17116101923273135[[#This Row],[Run 1]:[Run 5]])</calculatedColumnFormula>
    </tableColumn>
    <tableColumn id="11" xr3:uid="{CDCE1354-9786-47E6-84F5-4FF5EA5526B3}" name="PeakMemoryKB" dataDxfId="55"/>
    <tableColumn id="12" xr3:uid="{CE416958-1E27-4C96-86C4-B8E3D31179FB}" name="Major Faults" dataDxfId="54"/>
    <tableColumn id="13" xr3:uid="{EC88ACF8-EA16-4443-8952-5B74749B5956}" name="Minor Faults" dataDxfId="53"/>
    <tableColumn id="14" xr3:uid="{A73A06C3-1D62-491C-95EF-A14C82321810}" name="VoluntaryCS" dataDxfId="52"/>
    <tableColumn id="15" xr3:uid="{3E06E83D-13BE-4D01-9B91-F20104D8D477}" name="InvoluntaryCS" dataDxfId="51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C4E9EE4-7AC7-4C33-AB7E-61445E6103F6}" name="Table17117122024283236" displayName="Table17117122024283236" ref="A30:O39" totalsRowShown="0" headerRowDxfId="50" dataDxfId="49">
  <autoFilter ref="A30:O39" xr:uid="{08D1CD23-FFE1-43FB-B36E-78E00E3A271F}"/>
  <tableColumns count="15">
    <tableColumn id="1" xr3:uid="{4DEAE057-CF39-4132-A965-8B01F337BE5C}" name="Nested Matrix" dataDxfId="48"/>
    <tableColumn id="2" xr3:uid="{FC93C24A-5748-4C5B-9FEF-395EC6450E9B}" name="Run 1" dataDxfId="47"/>
    <tableColumn id="3" xr3:uid="{8AA503DC-7F83-4F9D-9AC4-172C581541B8}" name="Run 2" dataDxfId="46"/>
    <tableColumn id="4" xr3:uid="{497EF4CE-4883-442C-98D8-D50CC1C73F28}" name="Run 3" dataDxfId="45"/>
    <tableColumn id="5" xr3:uid="{5EF323F9-E2EC-47F6-AE43-EE11387147A1}" name="Run 4" dataDxfId="44"/>
    <tableColumn id="6" xr3:uid="{AFD762FC-2AD9-4424-AF74-B6E21F663B28}" name="Run 5" dataDxfId="43"/>
    <tableColumn id="7" xr3:uid="{6763E9F3-6062-4875-91F0-DC8A86A3BA87}" name="Min" dataDxfId="42">
      <calculatedColumnFormula>MIN(Table17117122024283236[[#This Row],[Run 1]:[Run 5]])</calculatedColumnFormula>
    </tableColumn>
    <tableColumn id="8" xr3:uid="{9832C23F-12C1-4CD9-8A4B-A4CF374DF7D7}" name="Max" dataDxfId="41">
      <calculatedColumnFormula>MAX(B31:F32)</calculatedColumnFormula>
    </tableColumn>
    <tableColumn id="9" xr3:uid="{7E11EAC5-497F-4D13-A693-220A45323F85}" name="Avg." dataDxfId="40">
      <calculatedColumnFormula>AVERAGE(Table17117122024283236[[#This Row],[Run 1]:[Run 5]])</calculatedColumnFormula>
    </tableColumn>
    <tableColumn id="10" xr3:uid="{6C54E2AD-D0DA-4FD5-9FBE-27E313F43DB3}" name="St. Dev" dataDxfId="39">
      <calculatedColumnFormula>_xlfn.STDEV.S(Table17117122024283236[[#This Row],[Run 1]:[Run 5]])</calculatedColumnFormula>
    </tableColumn>
    <tableColumn id="11" xr3:uid="{976F56BE-E30D-4C8C-86EB-E41BC11FCBE9}" name="PeakMemoryKB" dataDxfId="38"/>
    <tableColumn id="12" xr3:uid="{886C6ABF-FD22-44F0-B946-2A4133CC220E}" name="Major Faults" dataDxfId="37"/>
    <tableColumn id="13" xr3:uid="{83E8FDC0-B9C1-4E89-B296-154801F0EE3F}" name="Minor Faults" dataDxfId="36"/>
    <tableColumn id="14" xr3:uid="{BB3C29B4-C940-46CB-B84C-F1B86AAB142D}" name="VoluntaryCS" dataDxfId="35"/>
    <tableColumn id="15" xr3:uid="{E2A4F24F-82F7-4132-AD04-4DC66920772E}" name="InvoluntaryCS" dataDxfId="34"/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27BF37D9-CC12-4024-BFE4-2CEEF21B5FF7}" name="Table17118132125293337" displayName="Table17118132125293337" ref="A43:O52" totalsRowShown="0" headerRowDxfId="33" dataDxfId="32">
  <autoFilter ref="A43:O52" xr:uid="{9C3E18DB-B77D-4A24-A857-16E0098F9CF8}"/>
  <tableColumns count="15">
    <tableColumn id="1" xr3:uid="{9C930C23-EEC1-4D55-AE45-F3A5D883C202}" name="Linked List" dataDxfId="31"/>
    <tableColumn id="2" xr3:uid="{271D4252-52DE-4B59-B46F-C3ACB76747B7}" name="Run 1" dataDxfId="30"/>
    <tableColumn id="3" xr3:uid="{08E59F7E-D493-483A-997E-9627704D7939}" name="Run 2" dataDxfId="29"/>
    <tableColumn id="4" xr3:uid="{35DA461E-B546-4348-A3BD-8592C95F6619}" name="Run 3" dataDxfId="28"/>
    <tableColumn id="5" xr3:uid="{B472F667-7E4C-43FE-87AC-E39E8F74B73B}" name="Run 4" dataDxfId="27"/>
    <tableColumn id="6" xr3:uid="{0F248B1C-42A6-4AB1-8D77-14CA0CEDF893}" name="Run 5" dataDxfId="26"/>
    <tableColumn id="7" xr3:uid="{E0472445-6102-456E-8409-AB20C84B0463}" name="Min" dataDxfId="25">
      <calculatedColumnFormula>MIN(Table17118132125293337[[#This Row],[Run 1]:[Run 5]])</calculatedColumnFormula>
    </tableColumn>
    <tableColumn id="8" xr3:uid="{BE8D53DF-4E96-4F64-A1B6-6CE5D1842467}" name="Max" dataDxfId="24">
      <calculatedColumnFormula>MAX(B44:F45)</calculatedColumnFormula>
    </tableColumn>
    <tableColumn id="9" xr3:uid="{F1643100-2DB5-46DF-8093-3C9BBF2AA572}" name="Avg." dataDxfId="23">
      <calculatedColumnFormula>AVERAGE(Table17118132125293337[[#This Row],[Run 1]:[Run 5]])</calculatedColumnFormula>
    </tableColumn>
    <tableColumn id="10" xr3:uid="{2F4FC72A-BF05-4F14-9A33-2388D6B4D6E2}" name="St. Dev" dataDxfId="22">
      <calculatedColumnFormula>_xlfn.STDEV.S(Table17118132125293337[[#This Row],[Run 1]:[Run 5]])</calculatedColumnFormula>
    </tableColumn>
    <tableColumn id="11" xr3:uid="{A94D793A-1991-4C45-B0EA-142D8031DD26}" name="PeakMemoryKB" dataDxfId="21"/>
    <tableColumn id="12" xr3:uid="{59AAC64B-E120-4CA6-B3E0-59B0AD22D063}" name="Major Faults" dataDxfId="20"/>
    <tableColumn id="13" xr3:uid="{199A6852-46A7-4A7B-B863-A9A983D496D9}" name="Minor Faults" dataDxfId="19"/>
    <tableColumn id="14" xr3:uid="{2190E4C8-2611-4F08-A6C6-F236785A0030}" name="VoluntaryCS" dataDxfId="18"/>
    <tableColumn id="15" xr3:uid="{C09A7CFE-F969-49C3-9511-9526A950FE7F}" name="InvoluntaryCS" dataDxfId="17"/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21185-6502-4749-8FF0-1623B8577010}" name="Table1711918222630342" displayName="Table1711918222630342" ref="A57:O66" totalsRowShown="0" headerRowDxfId="16" dataDxfId="15">
  <autoFilter ref="A57:O66" xr:uid="{CAA21185-6502-4749-8FF0-1623B8577010}"/>
  <tableColumns count="15">
    <tableColumn id="1" xr3:uid="{D2509FEE-21F2-4711-9DC1-BE84916DF13C}" name="Matrix Array" dataDxfId="14"/>
    <tableColumn id="2" xr3:uid="{DFC4021D-81A5-479F-BB54-255F282AF865}" name="Run 1" dataDxfId="13"/>
    <tableColumn id="3" xr3:uid="{460069BD-8B9F-4F9F-99E4-CAA1B55D5161}" name="Run 2" dataDxfId="12"/>
    <tableColumn id="4" xr3:uid="{61FE5DE2-46A3-4B84-AA31-01BEE6C59034}" name="Run 3" dataDxfId="11"/>
    <tableColumn id="5" xr3:uid="{6B6BA6B0-9F72-47C5-B3AC-97F668BEBC58}" name="Run 4" dataDxfId="10"/>
    <tableColumn id="6" xr3:uid="{08CE0519-C94E-4CD1-9B56-263429495C5F}" name="Run 5" dataDxfId="9"/>
    <tableColumn id="7" xr3:uid="{0E7FC3F0-C904-47CF-A2BA-2E6C91D9629D}" name="Min" dataDxfId="8">
      <calculatedColumnFormula>MIN(Table1711918222630342[[#This Row],[Run 1]:[Run 5]])</calculatedColumnFormula>
    </tableColumn>
    <tableColumn id="8" xr3:uid="{BDC8E20F-E078-4034-8167-CE086D432B01}" name="Max" dataDxfId="7">
      <calculatedColumnFormula>MAX(B58:F59)</calculatedColumnFormula>
    </tableColumn>
    <tableColumn id="9" xr3:uid="{60D72983-D7D0-4F56-A2A8-96C2AD0C73F2}" name="Avg." dataDxfId="6">
      <calculatedColumnFormula>AVERAGE(Table1711918222630342[[#This Row],[Run 1]:[Run 5]])</calculatedColumnFormula>
    </tableColumn>
    <tableColumn id="10" xr3:uid="{EEDE5818-6077-4067-805C-97884F1C247B}" name="St. Dev" dataDxfId="5">
      <calculatedColumnFormula>_xlfn.STDEV.S(Table1711918222630342[[#This Row],[Run 1]:[Run 5]])</calculatedColumnFormula>
    </tableColumn>
    <tableColumn id="11" xr3:uid="{AD368A12-CA17-4261-8784-144829E9DB2F}" name="PeakMemoryKB" dataDxfId="4"/>
    <tableColumn id="12" xr3:uid="{604AF692-9270-4886-84D2-580D4BCB7F1E}" name="Major Faults" dataDxfId="3"/>
    <tableColumn id="13" xr3:uid="{D4FD1277-190A-425D-AA41-2549A94C669F}" name="Minor Faults" dataDxfId="2"/>
    <tableColumn id="14" xr3:uid="{20C423B2-75A3-4CAA-B9E9-9301149FB06E}" name="VoluntaryCS" dataDxfId="1"/>
    <tableColumn id="15" xr3:uid="{E7ADA3A4-560F-4A11-A9B7-238FC2D6F0A3}" name="InvoluntaryC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8899-6A75-46DE-8E32-717E5FEA7E82}">
  <dimension ref="A1:U67"/>
  <sheetViews>
    <sheetView topLeftCell="A24" workbookViewId="0">
      <selection activeCell="B61" sqref="B61:F61"/>
    </sheetView>
  </sheetViews>
  <sheetFormatPr defaultRowHeight="15"/>
  <cols>
    <col min="1" max="1" width="20.7109375" customWidth="1"/>
    <col min="2" max="9" width="10.7109375" customWidth="1"/>
    <col min="10" max="10" width="19.85546875" customWidth="1"/>
    <col min="11" max="11" width="17.7109375" customWidth="1"/>
    <col min="12" max="15" width="15.7109375" customWidth="1"/>
    <col min="16" max="17" width="10.7109375" customWidth="1"/>
  </cols>
  <sheetData>
    <row r="1" spans="1:2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21">
      <c r="A2" s="42" t="s">
        <v>1</v>
      </c>
      <c r="B2" s="43" t="s">
        <v>2</v>
      </c>
      <c r="C2" s="41"/>
      <c r="D2" s="41" t="s">
        <v>3</v>
      </c>
      <c r="E2" s="41" t="s">
        <v>4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21" ht="15.75">
      <c r="A3" s="41"/>
      <c r="B3" s="41"/>
      <c r="C3" s="41"/>
      <c r="D3" s="41"/>
      <c r="E3" s="41" t="s">
        <v>5</v>
      </c>
      <c r="F3" s="41"/>
      <c r="G3" s="28" t="s">
        <v>6</v>
      </c>
      <c r="H3" s="41"/>
      <c r="I3" s="41"/>
      <c r="J3" s="41"/>
      <c r="K3" s="44"/>
      <c r="L3" s="44"/>
      <c r="M3" s="45" t="s">
        <v>7</v>
      </c>
      <c r="N3" s="44"/>
      <c r="O3" s="44"/>
      <c r="P3" s="44"/>
    </row>
    <row r="4" spans="1:21" ht="18">
      <c r="A4" s="46" t="s">
        <v>8</v>
      </c>
      <c r="B4" s="43" t="s">
        <v>9</v>
      </c>
      <c r="C4" s="43" t="s">
        <v>10</v>
      </c>
      <c r="D4" s="43" t="s">
        <v>11</v>
      </c>
      <c r="E4" s="43" t="s">
        <v>12</v>
      </c>
      <c r="F4" s="43" t="s">
        <v>13</v>
      </c>
      <c r="G4" s="43" t="s">
        <v>14</v>
      </c>
      <c r="H4" s="43" t="s">
        <v>15</v>
      </c>
      <c r="I4" s="43" t="s">
        <v>16</v>
      </c>
      <c r="J4" s="43" t="s">
        <v>17</v>
      </c>
      <c r="K4" s="43" t="s">
        <v>18</v>
      </c>
      <c r="L4" s="43" t="s">
        <v>19</v>
      </c>
      <c r="M4" s="43" t="s">
        <v>20</v>
      </c>
      <c r="N4" s="43" t="s">
        <v>21</v>
      </c>
      <c r="O4" s="43" t="s">
        <v>22</v>
      </c>
      <c r="P4" s="43" t="s">
        <v>23</v>
      </c>
      <c r="Q4" s="10"/>
      <c r="R4" s="11"/>
      <c r="S4" s="11"/>
      <c r="T4" s="11"/>
      <c r="U4" s="11"/>
    </row>
    <row r="5" spans="1:21">
      <c r="A5" s="47" t="s">
        <v>24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22"/>
      <c r="R5" s="16"/>
      <c r="S5" s="16"/>
      <c r="T5" s="16"/>
      <c r="U5" s="16"/>
    </row>
    <row r="6" spans="1:21">
      <c r="A6" s="42" t="s">
        <v>25</v>
      </c>
      <c r="B6" s="29">
        <v>196.2</v>
      </c>
      <c r="C6" s="29">
        <v>197.49</v>
      </c>
      <c r="D6" s="29">
        <v>194.14</v>
      </c>
      <c r="E6" s="29">
        <v>194.89</v>
      </c>
      <c r="F6" s="29">
        <v>193.88</v>
      </c>
      <c r="G6" s="49">
        <v>193.88</v>
      </c>
      <c r="H6" s="49">
        <v>197.49</v>
      </c>
      <c r="I6" s="49">
        <v>195.32</v>
      </c>
      <c r="J6" s="49">
        <v>1.51</v>
      </c>
      <c r="K6" s="51">
        <v>267632</v>
      </c>
      <c r="L6" s="50">
        <v>0.2</v>
      </c>
      <c r="M6" s="51">
        <v>209378.4</v>
      </c>
      <c r="N6" s="50">
        <v>66</v>
      </c>
      <c r="O6" s="50">
        <v>284</v>
      </c>
      <c r="P6" s="50">
        <v>100.669</v>
      </c>
      <c r="Q6" s="14"/>
      <c r="R6" s="23"/>
      <c r="S6" s="23"/>
      <c r="T6" s="23"/>
      <c r="U6" s="23"/>
    </row>
    <row r="7" spans="1:21">
      <c r="A7" s="42" t="s">
        <v>26</v>
      </c>
      <c r="B7" s="29">
        <v>217.74</v>
      </c>
      <c r="C7" s="29">
        <v>215.67</v>
      </c>
      <c r="D7" s="29">
        <v>213.86</v>
      </c>
      <c r="E7" s="29">
        <v>217.78</v>
      </c>
      <c r="F7" s="29">
        <v>216.46</v>
      </c>
      <c r="G7" s="49">
        <v>213.86</v>
      </c>
      <c r="H7" s="49">
        <v>217.78</v>
      </c>
      <c r="I7" s="49">
        <v>216.3</v>
      </c>
      <c r="J7" s="49">
        <v>1.63</v>
      </c>
      <c r="K7" s="51">
        <v>278359.2</v>
      </c>
      <c r="L7" s="50">
        <v>0.8</v>
      </c>
      <c r="M7" s="51">
        <v>1484.2</v>
      </c>
      <c r="N7" s="50">
        <v>62</v>
      </c>
      <c r="O7" s="50">
        <v>130.4</v>
      </c>
      <c r="P7" s="50">
        <v>100.06399999999999</v>
      </c>
      <c r="Q7" s="14"/>
      <c r="R7" s="23"/>
      <c r="S7" s="23"/>
      <c r="T7" s="23"/>
      <c r="U7" s="23"/>
    </row>
    <row r="8" spans="1:21">
      <c r="A8" s="47" t="s">
        <v>27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22"/>
      <c r="R8" s="16"/>
      <c r="S8" s="16"/>
      <c r="T8" s="16"/>
      <c r="U8" s="16"/>
    </row>
    <row r="9" spans="1:21">
      <c r="A9" s="42" t="s">
        <v>25</v>
      </c>
      <c r="B9" s="29">
        <v>8338</v>
      </c>
      <c r="C9" s="29">
        <v>8326</v>
      </c>
      <c r="D9" s="29">
        <v>8354</v>
      </c>
      <c r="E9" s="29">
        <v>8394</v>
      </c>
      <c r="F9" s="29">
        <v>8331</v>
      </c>
      <c r="G9" s="49">
        <v>8326</v>
      </c>
      <c r="H9" s="49">
        <v>8394</v>
      </c>
      <c r="I9" s="49">
        <v>8348.6</v>
      </c>
      <c r="J9" s="49">
        <v>27.49</v>
      </c>
      <c r="K9" s="51">
        <v>267686.40000000002</v>
      </c>
      <c r="L9" s="50">
        <v>5</v>
      </c>
      <c r="M9" s="51">
        <v>8788586.1999999993</v>
      </c>
      <c r="N9" s="51">
        <v>1124.5999999999999</v>
      </c>
      <c r="O9" s="51">
        <v>12041.6</v>
      </c>
      <c r="P9" s="50">
        <v>100.001</v>
      </c>
      <c r="Q9" s="14"/>
      <c r="R9" s="23"/>
      <c r="S9" s="23"/>
      <c r="T9" s="23"/>
      <c r="U9" s="23"/>
    </row>
    <row r="10" spans="1:21">
      <c r="A10" s="42" t="s">
        <v>26</v>
      </c>
      <c r="B10" s="29">
        <v>9077</v>
      </c>
      <c r="C10" s="29">
        <v>9066</v>
      </c>
      <c r="D10" s="29">
        <v>9093</v>
      </c>
      <c r="E10" s="29">
        <v>9071</v>
      </c>
      <c r="F10" s="29">
        <v>9103</v>
      </c>
      <c r="G10" s="49">
        <v>9066</v>
      </c>
      <c r="H10" s="49">
        <v>9103</v>
      </c>
      <c r="I10" s="49">
        <v>9082</v>
      </c>
      <c r="J10" s="49">
        <v>15.52</v>
      </c>
      <c r="K10" s="51">
        <v>278452</v>
      </c>
      <c r="L10" s="50">
        <v>7.4</v>
      </c>
      <c r="M10" s="51">
        <v>56837.4</v>
      </c>
      <c r="N10" s="51">
        <v>1117.4000000000001</v>
      </c>
      <c r="O10" s="51">
        <v>4098</v>
      </c>
      <c r="P10" s="50">
        <v>100.012</v>
      </c>
      <c r="Q10" s="14"/>
      <c r="R10" s="23"/>
      <c r="S10" s="23"/>
      <c r="T10" s="23"/>
      <c r="U10" s="23"/>
    </row>
    <row r="11" spans="1:21">
      <c r="A11" s="47" t="s">
        <v>28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22"/>
      <c r="R11" s="16"/>
      <c r="S11" s="16"/>
      <c r="T11" s="16"/>
      <c r="U11" s="16"/>
    </row>
    <row r="12" spans="1:21">
      <c r="A12" s="42" t="s">
        <v>25</v>
      </c>
      <c r="B12" s="29">
        <v>23188</v>
      </c>
      <c r="C12" s="29">
        <v>23170</v>
      </c>
      <c r="D12" s="29">
        <v>23234</v>
      </c>
      <c r="E12" s="29">
        <v>23178</v>
      </c>
      <c r="F12" s="29">
        <v>23223</v>
      </c>
      <c r="G12" s="49">
        <v>23170</v>
      </c>
      <c r="H12" s="49">
        <v>23234</v>
      </c>
      <c r="I12" s="49">
        <v>23198.6</v>
      </c>
      <c r="J12" s="49">
        <v>28.3</v>
      </c>
      <c r="K12" s="51">
        <v>267708.79999999999</v>
      </c>
      <c r="L12" s="50">
        <v>17</v>
      </c>
      <c r="M12" s="51">
        <v>24482120.800000001</v>
      </c>
      <c r="N12" s="51">
        <v>3092</v>
      </c>
      <c r="O12" s="51">
        <v>33652.199999999997</v>
      </c>
      <c r="P12" s="50">
        <v>99.998999999999995</v>
      </c>
      <c r="Q12" s="14"/>
      <c r="R12" s="23"/>
      <c r="S12" s="23"/>
      <c r="T12" s="23"/>
      <c r="U12" s="23"/>
    </row>
    <row r="13" spans="1:21">
      <c r="A13" s="42" t="s">
        <v>26</v>
      </c>
      <c r="B13" s="29">
        <v>25451</v>
      </c>
      <c r="C13" s="29">
        <v>25384</v>
      </c>
      <c r="D13" s="29">
        <v>25433</v>
      </c>
      <c r="E13" s="29">
        <v>25417</v>
      </c>
      <c r="F13" s="29">
        <v>25506</v>
      </c>
      <c r="G13" s="49">
        <v>25384</v>
      </c>
      <c r="H13" s="49">
        <v>25506</v>
      </c>
      <c r="I13" s="49">
        <v>25438.2</v>
      </c>
      <c r="J13" s="49">
        <v>45.21</v>
      </c>
      <c r="K13" s="51">
        <v>278452</v>
      </c>
      <c r="L13" s="50">
        <v>21.4</v>
      </c>
      <c r="M13" s="51">
        <v>158845.6</v>
      </c>
      <c r="N13" s="51">
        <v>3088.6</v>
      </c>
      <c r="O13" s="51">
        <v>11418.2</v>
      </c>
      <c r="P13" s="50">
        <v>100.002</v>
      </c>
      <c r="Q13" s="14"/>
      <c r="R13" s="23"/>
      <c r="S13" s="23"/>
      <c r="T13" s="23"/>
      <c r="U13" s="23"/>
    </row>
    <row r="14" spans="1:2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spans="1:21">
      <c r="A15" s="42" t="s">
        <v>29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1:21" ht="15.7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4"/>
      <c r="L16" s="44"/>
      <c r="M16" s="45" t="s">
        <v>7</v>
      </c>
      <c r="N16" s="44"/>
      <c r="O16" s="44"/>
      <c r="P16" s="44"/>
    </row>
    <row r="17" spans="1:16" ht="18">
      <c r="A17" s="46" t="s">
        <v>30</v>
      </c>
      <c r="B17" s="43" t="s">
        <v>9</v>
      </c>
      <c r="C17" s="43" t="s">
        <v>10</v>
      </c>
      <c r="D17" s="43" t="s">
        <v>11</v>
      </c>
      <c r="E17" s="43" t="s">
        <v>12</v>
      </c>
      <c r="F17" s="43" t="s">
        <v>13</v>
      </c>
      <c r="G17" s="43" t="s">
        <v>14</v>
      </c>
      <c r="H17" s="43" t="s">
        <v>15</v>
      </c>
      <c r="I17" s="43" t="s">
        <v>16</v>
      </c>
      <c r="J17" s="43" t="s">
        <v>17</v>
      </c>
      <c r="K17" s="43" t="s">
        <v>18</v>
      </c>
      <c r="L17" s="43" t="s">
        <v>19</v>
      </c>
      <c r="M17" s="43" t="s">
        <v>20</v>
      </c>
      <c r="N17" s="43" t="s">
        <v>21</v>
      </c>
      <c r="O17" s="43" t="s">
        <v>22</v>
      </c>
      <c r="P17" s="43" t="s">
        <v>23</v>
      </c>
    </row>
    <row r="18" spans="1:16">
      <c r="A18" s="47" t="s">
        <v>24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</row>
    <row r="19" spans="1:16">
      <c r="A19" s="42" t="s">
        <v>25</v>
      </c>
      <c r="B19" s="29">
        <v>218.62</v>
      </c>
      <c r="C19" s="29">
        <v>218.4</v>
      </c>
      <c r="D19" s="29">
        <v>217.62</v>
      </c>
      <c r="E19" s="29">
        <v>221.04</v>
      </c>
      <c r="F19" s="29">
        <v>221.68</v>
      </c>
      <c r="G19" s="49">
        <v>217.62</v>
      </c>
      <c r="H19" s="49">
        <v>221.68</v>
      </c>
      <c r="I19" s="49">
        <v>219.47</v>
      </c>
      <c r="J19" s="49">
        <v>1.78</v>
      </c>
      <c r="K19" s="51">
        <v>204431.2</v>
      </c>
      <c r="L19" s="50">
        <v>0.8</v>
      </c>
      <c r="M19" s="51">
        <v>74880.399999999994</v>
      </c>
      <c r="N19" s="50">
        <v>59.8</v>
      </c>
      <c r="O19" s="50">
        <v>315.2</v>
      </c>
      <c r="P19" s="52">
        <v>99.762</v>
      </c>
    </row>
    <row r="20" spans="1:16">
      <c r="A20" s="42" t="s">
        <v>26</v>
      </c>
      <c r="B20" s="29">
        <v>231.17</v>
      </c>
      <c r="C20" s="29">
        <v>228.21</v>
      </c>
      <c r="D20" s="29">
        <v>231.23</v>
      </c>
      <c r="E20" s="29">
        <v>229.2</v>
      </c>
      <c r="F20" s="29">
        <v>230.53</v>
      </c>
      <c r="G20" s="49">
        <v>228.21</v>
      </c>
      <c r="H20" s="49">
        <v>231.23</v>
      </c>
      <c r="I20" s="49">
        <v>230.07</v>
      </c>
      <c r="J20" s="49">
        <v>1.32</v>
      </c>
      <c r="K20" s="51">
        <v>261565.6</v>
      </c>
      <c r="L20" s="50">
        <v>0.4</v>
      </c>
      <c r="M20" s="51">
        <v>1349.4</v>
      </c>
      <c r="N20" s="50">
        <v>60</v>
      </c>
      <c r="O20" s="50">
        <v>189</v>
      </c>
      <c r="P20" s="52">
        <v>99.941999999999993</v>
      </c>
    </row>
    <row r="21" spans="1:16">
      <c r="A21" s="47" t="s">
        <v>27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  <row r="22" spans="1:16">
      <c r="A22" s="42" t="s">
        <v>25</v>
      </c>
      <c r="B22" s="29">
        <v>8385</v>
      </c>
      <c r="C22" s="29">
        <v>8375</v>
      </c>
      <c r="D22" s="29">
        <v>8398</v>
      </c>
      <c r="E22" s="29">
        <v>8339</v>
      </c>
      <c r="F22" s="29">
        <v>8343</v>
      </c>
      <c r="G22" s="49">
        <v>8339</v>
      </c>
      <c r="H22" s="49">
        <v>8398</v>
      </c>
      <c r="I22" s="49">
        <v>8368</v>
      </c>
      <c r="J22" s="49">
        <v>26</v>
      </c>
      <c r="K22" s="51">
        <v>204605.6</v>
      </c>
      <c r="L22" s="50">
        <v>4.2</v>
      </c>
      <c r="M22" s="51">
        <v>2840567.2</v>
      </c>
      <c r="N22" s="51">
        <v>1016.2</v>
      </c>
      <c r="O22" s="51">
        <v>12084.2</v>
      </c>
      <c r="P22" s="52">
        <v>99.997</v>
      </c>
    </row>
    <row r="23" spans="1:16">
      <c r="A23" s="42" t="s">
        <v>26</v>
      </c>
      <c r="B23" s="29">
        <v>8751</v>
      </c>
      <c r="C23" s="29">
        <v>8736</v>
      </c>
      <c r="D23" s="29">
        <v>8734</v>
      </c>
      <c r="E23" s="29">
        <v>8754</v>
      </c>
      <c r="F23" s="29">
        <v>8719</v>
      </c>
      <c r="G23" s="49">
        <v>8719</v>
      </c>
      <c r="H23" s="49">
        <v>8754</v>
      </c>
      <c r="I23" s="49">
        <v>8738.7999999999993</v>
      </c>
      <c r="J23" s="49">
        <v>14.17</v>
      </c>
      <c r="K23" s="51">
        <v>261572</v>
      </c>
      <c r="L23" s="50">
        <v>6.8</v>
      </c>
      <c r="M23" s="51">
        <v>46697.599999999999</v>
      </c>
      <c r="N23" s="51">
        <v>1013.8</v>
      </c>
      <c r="O23" s="51">
        <v>6001.8</v>
      </c>
      <c r="P23" s="52">
        <v>99.998000000000005</v>
      </c>
    </row>
    <row r="24" spans="1:16">
      <c r="A24" s="47" t="s">
        <v>28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</row>
    <row r="25" spans="1:16">
      <c r="A25" s="42" t="s">
        <v>25</v>
      </c>
      <c r="B25" s="29">
        <v>22414</v>
      </c>
      <c r="C25" s="29">
        <v>22446</v>
      </c>
      <c r="D25" s="29">
        <v>22503</v>
      </c>
      <c r="E25" s="29">
        <v>22461</v>
      </c>
      <c r="F25" s="29">
        <v>22542</v>
      </c>
      <c r="G25" s="49">
        <v>22414</v>
      </c>
      <c r="H25" s="49">
        <v>22542</v>
      </c>
      <c r="I25" s="49">
        <v>22473.200000000001</v>
      </c>
      <c r="J25" s="49">
        <v>50.04</v>
      </c>
      <c r="K25" s="51">
        <v>204652</v>
      </c>
      <c r="L25" s="50">
        <v>11.8</v>
      </c>
      <c r="M25" s="51">
        <v>7624442.2000000002</v>
      </c>
      <c r="N25" s="51">
        <v>2646</v>
      </c>
      <c r="O25" s="51">
        <v>33053.4</v>
      </c>
      <c r="P25" s="52">
        <v>99.998000000000005</v>
      </c>
    </row>
    <row r="26" spans="1:16">
      <c r="A26" s="42" t="s">
        <v>26</v>
      </c>
      <c r="B26" s="29">
        <v>23398</v>
      </c>
      <c r="C26" s="29">
        <v>23412</v>
      </c>
      <c r="D26" s="29">
        <v>23409</v>
      </c>
      <c r="E26" s="29">
        <v>23424</v>
      </c>
      <c r="F26" s="29">
        <v>23423</v>
      </c>
      <c r="G26" s="49">
        <v>23398</v>
      </c>
      <c r="H26" s="49">
        <v>23424</v>
      </c>
      <c r="I26" s="49">
        <v>23413.200000000001</v>
      </c>
      <c r="J26" s="49">
        <v>10.76</v>
      </c>
      <c r="K26" s="51">
        <v>261572</v>
      </c>
      <c r="L26" s="50">
        <v>13.2</v>
      </c>
      <c r="M26" s="51">
        <v>124714</v>
      </c>
      <c r="N26" s="51">
        <v>2641.6</v>
      </c>
      <c r="O26" s="51">
        <v>14772.4</v>
      </c>
      <c r="P26" s="52">
        <v>100.001</v>
      </c>
    </row>
    <row r="27" spans="1:16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spans="1:16">
      <c r="A28" s="42" t="s">
        <v>29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</row>
    <row r="29" spans="1:16" ht="15.7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4"/>
      <c r="L29" s="44"/>
      <c r="M29" s="45" t="s">
        <v>7</v>
      </c>
      <c r="N29" s="44"/>
      <c r="O29" s="44"/>
      <c r="P29" s="44"/>
    </row>
    <row r="30" spans="1:16" ht="18">
      <c r="A30" s="46" t="s">
        <v>31</v>
      </c>
      <c r="B30" s="43" t="s">
        <v>9</v>
      </c>
      <c r="C30" s="43" t="s">
        <v>10</v>
      </c>
      <c r="D30" s="43" t="s">
        <v>11</v>
      </c>
      <c r="E30" s="43" t="s">
        <v>12</v>
      </c>
      <c r="F30" s="43" t="s">
        <v>13</v>
      </c>
      <c r="G30" s="43" t="s">
        <v>14</v>
      </c>
      <c r="H30" s="43" t="s">
        <v>15</v>
      </c>
      <c r="I30" s="43" t="s">
        <v>16</v>
      </c>
      <c r="J30" s="43" t="s">
        <v>17</v>
      </c>
      <c r="K30" s="43" t="s">
        <v>18</v>
      </c>
      <c r="L30" s="43" t="s">
        <v>19</v>
      </c>
      <c r="M30" s="43" t="s">
        <v>20</v>
      </c>
      <c r="N30" s="43" t="s">
        <v>21</v>
      </c>
      <c r="O30" s="43" t="s">
        <v>22</v>
      </c>
      <c r="P30" s="43" t="s">
        <v>23</v>
      </c>
    </row>
    <row r="31" spans="1:16">
      <c r="A31" s="47" t="s">
        <v>24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</row>
    <row r="32" spans="1:16">
      <c r="A32" s="42" t="s">
        <v>25</v>
      </c>
      <c r="B32" s="29">
        <v>196.25</v>
      </c>
      <c r="C32" s="29">
        <v>198.55</v>
      </c>
      <c r="D32" s="29">
        <v>196.98</v>
      </c>
      <c r="E32" s="29">
        <v>196.29</v>
      </c>
      <c r="F32" s="29">
        <v>198.84</v>
      </c>
      <c r="G32" s="49">
        <v>196.25</v>
      </c>
      <c r="H32" s="49">
        <v>198.84</v>
      </c>
      <c r="I32" s="49">
        <v>197.38</v>
      </c>
      <c r="J32" s="49">
        <v>1.24</v>
      </c>
      <c r="K32" s="51">
        <v>252272.8</v>
      </c>
      <c r="L32" s="50">
        <v>0.4</v>
      </c>
      <c r="M32" s="51">
        <v>63486</v>
      </c>
      <c r="N32" s="50">
        <v>65.599999999999994</v>
      </c>
      <c r="O32" s="50">
        <v>72</v>
      </c>
      <c r="P32" s="52">
        <v>99.876000000000005</v>
      </c>
    </row>
    <row r="33" spans="1:16">
      <c r="A33" s="42" t="s">
        <v>26</v>
      </c>
      <c r="B33" s="29">
        <v>217.58</v>
      </c>
      <c r="C33" s="29">
        <v>216.34</v>
      </c>
      <c r="D33" s="29">
        <v>214.66</v>
      </c>
      <c r="E33" s="29">
        <v>216.31</v>
      </c>
      <c r="F33" s="29">
        <v>217.11</v>
      </c>
      <c r="G33" s="49">
        <v>214.66</v>
      </c>
      <c r="H33" s="49">
        <v>217.58</v>
      </c>
      <c r="I33" s="49">
        <v>216.4</v>
      </c>
      <c r="J33" s="49">
        <v>1.1100000000000001</v>
      </c>
      <c r="K33" s="51">
        <v>260551.2</v>
      </c>
      <c r="L33" s="50">
        <v>0.6</v>
      </c>
      <c r="M33" s="51">
        <v>1627.2</v>
      </c>
      <c r="N33" s="50">
        <v>61.8</v>
      </c>
      <c r="O33" s="50">
        <v>148.6</v>
      </c>
      <c r="P33" s="52">
        <v>99.430999999999997</v>
      </c>
    </row>
    <row r="34" spans="1:16">
      <c r="A34" s="47" t="s">
        <v>27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</row>
    <row r="35" spans="1:16">
      <c r="A35" s="42" t="s">
        <v>25</v>
      </c>
      <c r="B35" s="29">
        <v>8253</v>
      </c>
      <c r="C35" s="29">
        <v>8290</v>
      </c>
      <c r="D35" s="29">
        <v>8265</v>
      </c>
      <c r="E35" s="29">
        <v>8268</v>
      </c>
      <c r="F35" s="29">
        <v>8266</v>
      </c>
      <c r="G35" s="49">
        <v>8253</v>
      </c>
      <c r="H35" s="49">
        <v>8290</v>
      </c>
      <c r="I35" s="49">
        <v>8268.4</v>
      </c>
      <c r="J35" s="49">
        <v>13.43</v>
      </c>
      <c r="K35" s="51">
        <v>252320</v>
      </c>
      <c r="L35" s="50">
        <v>7.2</v>
      </c>
      <c r="M35" s="51">
        <v>2660760</v>
      </c>
      <c r="N35" s="51">
        <v>1132.4000000000001</v>
      </c>
      <c r="O35" s="51">
        <v>3931.2</v>
      </c>
      <c r="P35" s="52">
        <v>100.01900000000001</v>
      </c>
    </row>
    <row r="36" spans="1:16">
      <c r="A36" s="42" t="s">
        <v>26</v>
      </c>
      <c r="B36" s="29">
        <v>9051</v>
      </c>
      <c r="C36" s="29">
        <v>9040</v>
      </c>
      <c r="D36" s="29">
        <v>9074</v>
      </c>
      <c r="E36" s="29">
        <v>9098</v>
      </c>
      <c r="F36" s="29">
        <v>9073</v>
      </c>
      <c r="G36" s="49">
        <v>9040</v>
      </c>
      <c r="H36" s="49">
        <v>9098</v>
      </c>
      <c r="I36" s="49">
        <v>9067.2000000000007</v>
      </c>
      <c r="J36" s="49">
        <v>22.53</v>
      </c>
      <c r="K36" s="51">
        <v>260632</v>
      </c>
      <c r="L36" s="50">
        <v>7.8</v>
      </c>
      <c r="M36" s="51">
        <v>62773.599999999999</v>
      </c>
      <c r="N36" s="51">
        <v>1127.8</v>
      </c>
      <c r="O36" s="51">
        <v>4341.2</v>
      </c>
      <c r="P36" s="52">
        <v>100.01</v>
      </c>
    </row>
    <row r="37" spans="1:16">
      <c r="A37" s="47" t="s">
        <v>28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</row>
    <row r="38" spans="1:16">
      <c r="A38" s="42" t="s">
        <v>25</v>
      </c>
      <c r="B38" s="29">
        <v>22527</v>
      </c>
      <c r="C38" s="29">
        <v>22536</v>
      </c>
      <c r="D38" s="29">
        <v>22542</v>
      </c>
      <c r="E38" s="29">
        <v>22524</v>
      </c>
      <c r="F38" s="29">
        <v>22560</v>
      </c>
      <c r="G38" s="49">
        <v>22524</v>
      </c>
      <c r="H38" s="49">
        <v>22560</v>
      </c>
      <c r="I38" s="49">
        <v>22537.8</v>
      </c>
      <c r="J38" s="49">
        <v>14.32</v>
      </c>
      <c r="K38" s="51">
        <v>252320</v>
      </c>
      <c r="L38" s="50">
        <v>18.399999999999999</v>
      </c>
      <c r="M38" s="51">
        <v>7284943.4000000004</v>
      </c>
      <c r="N38" s="51">
        <v>3018.2</v>
      </c>
      <c r="O38" s="51">
        <v>11173</v>
      </c>
      <c r="P38" s="52">
        <v>100.001</v>
      </c>
    </row>
    <row r="39" spans="1:16">
      <c r="A39" s="42" t="s">
        <v>26</v>
      </c>
      <c r="B39" s="29">
        <v>24688</v>
      </c>
      <c r="C39" s="29">
        <v>24760</v>
      </c>
      <c r="D39" s="29">
        <v>24751</v>
      </c>
      <c r="E39" s="29">
        <v>24779</v>
      </c>
      <c r="F39" s="29">
        <v>24675</v>
      </c>
      <c r="G39" s="49">
        <v>24675</v>
      </c>
      <c r="H39" s="49">
        <v>24779</v>
      </c>
      <c r="I39" s="49">
        <v>24730.6</v>
      </c>
      <c r="J39" s="49">
        <v>46.18</v>
      </c>
      <c r="K39" s="51">
        <v>260632</v>
      </c>
      <c r="L39" s="50">
        <v>17</v>
      </c>
      <c r="M39" s="51">
        <v>170919.4</v>
      </c>
      <c r="N39" s="51">
        <v>3019.6</v>
      </c>
      <c r="O39" s="51">
        <v>12554.2</v>
      </c>
      <c r="P39" s="52">
        <v>100.003</v>
      </c>
    </row>
    <row r="40" spans="1:16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</row>
    <row r="41" spans="1:16">
      <c r="A41" s="42" t="s">
        <v>29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</row>
    <row r="42" spans="1:16" ht="15.7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4"/>
      <c r="L42" s="44"/>
      <c r="M42" s="45" t="s">
        <v>7</v>
      </c>
      <c r="N42" s="44"/>
      <c r="O42" s="44"/>
      <c r="P42" s="44"/>
    </row>
    <row r="43" spans="1:16" ht="18">
      <c r="A43" s="46" t="s">
        <v>32</v>
      </c>
      <c r="B43" s="43" t="s">
        <v>9</v>
      </c>
      <c r="C43" s="43" t="s">
        <v>10</v>
      </c>
      <c r="D43" s="43" t="s">
        <v>11</v>
      </c>
      <c r="E43" s="43" t="s">
        <v>12</v>
      </c>
      <c r="F43" s="43" t="s">
        <v>13</v>
      </c>
      <c r="G43" s="43" t="s">
        <v>14</v>
      </c>
      <c r="H43" s="43" t="s">
        <v>15</v>
      </c>
      <c r="I43" s="43" t="s">
        <v>16</v>
      </c>
      <c r="J43" s="43" t="s">
        <v>17</v>
      </c>
      <c r="K43" s="43" t="s">
        <v>18</v>
      </c>
      <c r="L43" s="43" t="s">
        <v>19</v>
      </c>
      <c r="M43" s="43" t="s">
        <v>20</v>
      </c>
      <c r="N43" s="43" t="s">
        <v>21</v>
      </c>
      <c r="O43" s="43" t="s">
        <v>22</v>
      </c>
      <c r="P43" s="43" t="s">
        <v>23</v>
      </c>
    </row>
    <row r="44" spans="1:16">
      <c r="A44" s="47" t="s">
        <v>24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</row>
    <row r="45" spans="1:16">
      <c r="A45" s="42" t="s">
        <v>25</v>
      </c>
      <c r="B45" s="29">
        <v>190.86</v>
      </c>
      <c r="C45" s="29">
        <v>192.46</v>
      </c>
      <c r="D45" s="29">
        <v>192.51</v>
      </c>
      <c r="E45" s="29">
        <v>189.59</v>
      </c>
      <c r="F45" s="29">
        <v>191.67</v>
      </c>
      <c r="G45" s="49">
        <v>189.59</v>
      </c>
      <c r="H45" s="49">
        <v>192.51</v>
      </c>
      <c r="I45" s="49">
        <v>191.42</v>
      </c>
      <c r="J45" s="49">
        <v>1.22</v>
      </c>
      <c r="K45" s="51">
        <v>451561.6</v>
      </c>
      <c r="L45" s="50">
        <v>0.2</v>
      </c>
      <c r="M45" s="51">
        <v>113336.2</v>
      </c>
      <c r="N45" s="50">
        <v>62.2</v>
      </c>
      <c r="O45" s="50">
        <v>231.6</v>
      </c>
      <c r="P45" s="52">
        <v>99.983000000000004</v>
      </c>
    </row>
    <row r="46" spans="1:16">
      <c r="A46" s="42" t="s">
        <v>26</v>
      </c>
      <c r="B46" s="29">
        <v>216.74</v>
      </c>
      <c r="C46" s="29">
        <v>216.71</v>
      </c>
      <c r="D46" s="29">
        <v>214.88</v>
      </c>
      <c r="E46" s="29">
        <v>216.48</v>
      </c>
      <c r="F46" s="29">
        <v>217.22</v>
      </c>
      <c r="G46" s="49">
        <v>214.88</v>
      </c>
      <c r="H46" s="49">
        <v>217.22</v>
      </c>
      <c r="I46" s="49">
        <v>216.41</v>
      </c>
      <c r="J46" s="49">
        <v>0.89</v>
      </c>
      <c r="K46" s="51">
        <v>1153277.6000000001</v>
      </c>
      <c r="L46" s="50">
        <v>0.8</v>
      </c>
      <c r="M46" s="51">
        <v>2049</v>
      </c>
      <c r="N46" s="50">
        <v>65</v>
      </c>
      <c r="O46" s="50">
        <v>143</v>
      </c>
      <c r="P46" s="52">
        <v>100.044</v>
      </c>
    </row>
    <row r="47" spans="1:16">
      <c r="A47" s="47" t="s">
        <v>27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</row>
    <row r="48" spans="1:16">
      <c r="A48" s="42" t="s">
        <v>25</v>
      </c>
      <c r="B48" s="29">
        <v>8342</v>
      </c>
      <c r="C48" s="29">
        <v>8357</v>
      </c>
      <c r="D48" s="29">
        <v>8306</v>
      </c>
      <c r="E48" s="29">
        <v>8396</v>
      </c>
      <c r="F48" s="29">
        <v>8345</v>
      </c>
      <c r="G48" s="49">
        <v>8306</v>
      </c>
      <c r="H48" s="49">
        <v>8396</v>
      </c>
      <c r="I48" s="49">
        <v>8349.2000000000007</v>
      </c>
      <c r="J48" s="49">
        <v>32.35</v>
      </c>
      <c r="K48" s="51">
        <v>451616</v>
      </c>
      <c r="L48" s="50">
        <v>5</v>
      </c>
      <c r="M48" s="51">
        <v>4868054.2</v>
      </c>
      <c r="N48" s="51">
        <v>1139.5999999999999</v>
      </c>
      <c r="O48" s="51">
        <v>7206</v>
      </c>
      <c r="P48" s="52">
        <v>100.005</v>
      </c>
    </row>
    <row r="49" spans="1:17">
      <c r="A49" s="42" t="s">
        <v>26</v>
      </c>
      <c r="B49" s="29">
        <v>9347</v>
      </c>
      <c r="C49" s="29">
        <v>9374</v>
      </c>
      <c r="D49" s="29">
        <v>9407</v>
      </c>
      <c r="E49" s="29">
        <v>9346</v>
      </c>
      <c r="F49" s="29">
        <v>9343</v>
      </c>
      <c r="G49" s="49">
        <v>9343</v>
      </c>
      <c r="H49" s="49">
        <v>9407</v>
      </c>
      <c r="I49" s="49">
        <v>9363.4</v>
      </c>
      <c r="J49" s="49">
        <v>27.39</v>
      </c>
      <c r="K49" s="51">
        <v>1153299.2</v>
      </c>
      <c r="L49" s="50">
        <v>6.4</v>
      </c>
      <c r="M49" s="51">
        <v>82779.8</v>
      </c>
      <c r="N49" s="51">
        <v>1145.2</v>
      </c>
      <c r="O49" s="51">
        <v>7095</v>
      </c>
      <c r="P49" s="52">
        <v>100.006</v>
      </c>
    </row>
    <row r="50" spans="1:17">
      <c r="A50" s="47" t="s">
        <v>28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</row>
    <row r="51" spans="1:17">
      <c r="A51" s="42" t="s">
        <v>25</v>
      </c>
      <c r="B51" s="29">
        <v>23347</v>
      </c>
      <c r="C51" s="29">
        <v>23290</v>
      </c>
      <c r="D51" s="29">
        <v>23318</v>
      </c>
      <c r="E51" s="29">
        <v>23427</v>
      </c>
      <c r="F51" s="29">
        <v>23361</v>
      </c>
      <c r="G51" s="49">
        <v>23290</v>
      </c>
      <c r="H51" s="49">
        <v>23427</v>
      </c>
      <c r="I51" s="49">
        <v>23348.6</v>
      </c>
      <c r="J51" s="49">
        <v>51.66</v>
      </c>
      <c r="K51" s="51">
        <v>451620</v>
      </c>
      <c r="L51" s="50">
        <v>11.8</v>
      </c>
      <c r="M51" s="51">
        <v>13585699.4</v>
      </c>
      <c r="N51" s="51">
        <v>3151.8</v>
      </c>
      <c r="O51" s="51">
        <v>21063.4</v>
      </c>
      <c r="P51" s="52">
        <v>99.998999999999995</v>
      </c>
    </row>
    <row r="52" spans="1:17">
      <c r="A52" s="42" t="s">
        <v>26</v>
      </c>
      <c r="B52" s="29">
        <v>25888</v>
      </c>
      <c r="C52" s="29">
        <v>25947</v>
      </c>
      <c r="D52" s="29">
        <v>25930</v>
      </c>
      <c r="E52" s="29">
        <v>25922</v>
      </c>
      <c r="F52" s="29">
        <v>25918</v>
      </c>
      <c r="G52" s="49">
        <v>25888</v>
      </c>
      <c r="H52" s="49">
        <v>25947</v>
      </c>
      <c r="I52" s="49">
        <v>25921</v>
      </c>
      <c r="J52" s="49">
        <v>21.54</v>
      </c>
      <c r="K52" s="51">
        <v>1153302.3999999999</v>
      </c>
      <c r="L52" s="50">
        <v>17.8</v>
      </c>
      <c r="M52" s="51">
        <v>230538</v>
      </c>
      <c r="N52" s="51">
        <v>3149</v>
      </c>
      <c r="O52" s="51">
        <v>19006.8</v>
      </c>
      <c r="P52" s="52">
        <v>99.998999999999995</v>
      </c>
    </row>
    <row r="56" spans="1:17">
      <c r="A56" s="2" t="s">
        <v>1</v>
      </c>
      <c r="B56" s="1" t="s">
        <v>33</v>
      </c>
      <c r="D56" t="s">
        <v>34</v>
      </c>
      <c r="L56" s="2"/>
    </row>
    <row r="57" spans="1:17" ht="15.75">
      <c r="D57" t="s">
        <v>35</v>
      </c>
      <c r="F57" t="s">
        <v>36</v>
      </c>
      <c r="K57" s="26"/>
      <c r="L57" s="26"/>
      <c r="M57" s="27" t="s">
        <v>7</v>
      </c>
      <c r="N57" s="26"/>
      <c r="O57" s="26"/>
    </row>
    <row r="58" spans="1:17" ht="18.75">
      <c r="A58" s="3" t="s">
        <v>8</v>
      </c>
      <c r="B58" s="4" t="s">
        <v>9</v>
      </c>
      <c r="C58" s="4" t="s">
        <v>10</v>
      </c>
      <c r="D58" s="4" t="s">
        <v>11</v>
      </c>
      <c r="E58" s="4" t="s">
        <v>12</v>
      </c>
      <c r="F58" s="4" t="s">
        <v>13</v>
      </c>
      <c r="G58" s="4" t="s">
        <v>14</v>
      </c>
      <c r="H58" s="4" t="s">
        <v>15</v>
      </c>
      <c r="I58" s="4" t="s">
        <v>16</v>
      </c>
      <c r="J58" s="4" t="s">
        <v>17</v>
      </c>
      <c r="K58" s="4" t="s">
        <v>18</v>
      </c>
      <c r="L58" s="4" t="s">
        <v>19</v>
      </c>
      <c r="M58" s="4" t="s">
        <v>20</v>
      </c>
      <c r="N58" s="4" t="s">
        <v>21</v>
      </c>
      <c r="O58" s="4" t="s">
        <v>22</v>
      </c>
    </row>
    <row r="59" spans="1:17">
      <c r="A59" s="19" t="s">
        <v>24</v>
      </c>
      <c r="B59" s="18"/>
      <c r="C59" s="18"/>
      <c r="D59" s="18"/>
      <c r="E59" s="18"/>
      <c r="F59" s="18"/>
      <c r="G59" s="19"/>
      <c r="H59" s="19"/>
      <c r="I59" s="19"/>
      <c r="J59" s="19"/>
      <c r="K59" s="18"/>
      <c r="L59" s="18"/>
      <c r="M59" s="18"/>
      <c r="N59" s="18"/>
      <c r="O59" s="18"/>
    </row>
    <row r="60" spans="1:17">
      <c r="A60" s="7" t="s">
        <v>25</v>
      </c>
      <c r="B60" s="8">
        <v>486.44</v>
      </c>
      <c r="C60" s="8">
        <v>486.96</v>
      </c>
      <c r="D60" s="8">
        <v>501.63</v>
      </c>
      <c r="E60" s="8">
        <v>497.4</v>
      </c>
      <c r="F60" s="8">
        <v>500.73</v>
      </c>
      <c r="G60" s="20">
        <f>MIN(B60:F60)</f>
        <v>486.44</v>
      </c>
      <c r="H60" s="20">
        <f>MAX(B60:F60)</f>
        <v>501.63</v>
      </c>
      <c r="I60" s="20">
        <f>AVERAGE(B60:F60)</f>
        <v>494.63199999999995</v>
      </c>
      <c r="J60" s="20">
        <f>_xlfn.STDEV.S(B60:F60)</f>
        <v>7.4126223430038642</v>
      </c>
      <c r="K60" s="21"/>
      <c r="L60" s="21"/>
      <c r="M60" s="21"/>
      <c r="N60" s="21"/>
      <c r="O60" s="21"/>
      <c r="P60" t="s">
        <v>37</v>
      </c>
      <c r="Q60">
        <v>400</v>
      </c>
    </row>
    <row r="61" spans="1:17">
      <c r="A61" s="7" t="s">
        <v>26</v>
      </c>
      <c r="B61" s="8">
        <v>515.13</v>
      </c>
      <c r="C61" s="8">
        <v>517.17999999999995</v>
      </c>
      <c r="D61" s="8">
        <v>515.49</v>
      </c>
      <c r="E61" s="8">
        <v>519.75</v>
      </c>
      <c r="F61" s="8">
        <v>531.57000000000005</v>
      </c>
      <c r="G61" s="20">
        <f>MIN(B61:F61)</f>
        <v>515.13</v>
      </c>
      <c r="H61" s="20">
        <f>MAX(B61:F61)</f>
        <v>531.57000000000005</v>
      </c>
      <c r="I61" s="20">
        <f>AVERAGE(B61:F61)</f>
        <v>519.82400000000007</v>
      </c>
      <c r="J61" s="20">
        <f>_xlfn.STDEV.S(B61:F61)</f>
        <v>6.8150920756802948</v>
      </c>
      <c r="K61" s="21"/>
      <c r="L61" s="21"/>
      <c r="M61" s="21"/>
      <c r="N61" s="21"/>
      <c r="O61" s="21"/>
    </row>
    <row r="62" spans="1:17">
      <c r="A62" s="19" t="s">
        <v>27</v>
      </c>
      <c r="B62" s="18"/>
      <c r="C62" s="18"/>
      <c r="D62" s="18"/>
      <c r="E62" s="18"/>
      <c r="F62" s="18"/>
      <c r="G62" s="19"/>
      <c r="H62" s="19"/>
      <c r="I62" s="19"/>
      <c r="J62" s="19"/>
      <c r="K62" s="18"/>
      <c r="L62" s="18"/>
      <c r="M62" s="18"/>
      <c r="N62" s="18"/>
      <c r="O62" s="18"/>
    </row>
    <row r="63" spans="1:17">
      <c r="A63" s="7" t="s">
        <v>25</v>
      </c>
      <c r="B63" s="8"/>
      <c r="C63" s="8"/>
      <c r="D63" s="8"/>
      <c r="E63" s="8"/>
      <c r="F63" s="8"/>
      <c r="G63" s="20">
        <f>MIN(B63:F63)</f>
        <v>0</v>
      </c>
      <c r="H63" s="20">
        <f>MAX(B63:F63)</f>
        <v>0</v>
      </c>
      <c r="I63" s="20" t="e">
        <f>AVERAGE(B63:F63)</f>
        <v>#DIV/0!</v>
      </c>
      <c r="J63" s="20" t="e">
        <f>_xlfn.STDEV.S(B63:F63)</f>
        <v>#DIV/0!</v>
      </c>
      <c r="K63" s="21"/>
      <c r="L63" s="21"/>
      <c r="M63" s="21"/>
      <c r="N63" s="21"/>
      <c r="O63" s="21"/>
    </row>
    <row r="64" spans="1:17">
      <c r="A64" s="7" t="s">
        <v>26</v>
      </c>
      <c r="B64" s="8"/>
      <c r="C64" s="8"/>
      <c r="D64" s="8"/>
      <c r="E64" s="8"/>
      <c r="F64" s="8"/>
      <c r="G64" s="20">
        <f>MIN(B64:F64)</f>
        <v>0</v>
      </c>
      <c r="H64" s="20">
        <f>MAX(B64:F64)</f>
        <v>0</v>
      </c>
      <c r="I64" s="20" t="e">
        <f>AVERAGE(B64:F64)</f>
        <v>#DIV/0!</v>
      </c>
      <c r="J64" s="20" t="e">
        <f>_xlfn.STDEV.S(B64:F64)</f>
        <v>#DIV/0!</v>
      </c>
      <c r="K64" s="21"/>
      <c r="L64" s="21"/>
      <c r="M64" s="21"/>
      <c r="N64" s="21"/>
      <c r="O64" s="21"/>
    </row>
    <row r="65" spans="1:15">
      <c r="A65" s="19" t="s">
        <v>28</v>
      </c>
      <c r="B65" s="18"/>
      <c r="C65" s="18"/>
      <c r="D65" s="18"/>
      <c r="E65" s="18"/>
      <c r="F65" s="18"/>
      <c r="G65" s="19"/>
      <c r="H65" s="19"/>
      <c r="I65" s="19"/>
      <c r="J65" s="19"/>
      <c r="K65" s="18"/>
      <c r="L65" s="18"/>
      <c r="M65" s="18"/>
      <c r="N65" s="18"/>
      <c r="O65" s="18"/>
    </row>
    <row r="66" spans="1:15">
      <c r="A66" s="7" t="s">
        <v>25</v>
      </c>
      <c r="B66" s="8"/>
      <c r="C66" s="8"/>
      <c r="D66" s="8"/>
      <c r="E66" s="8"/>
      <c r="F66" s="8"/>
      <c r="G66" s="20">
        <f>MIN(B66:F66)</f>
        <v>0</v>
      </c>
      <c r="H66" s="20">
        <f>MAX(B66:F66)</f>
        <v>0</v>
      </c>
      <c r="I66" s="20" t="e">
        <f>AVERAGE(B66:F66)</f>
        <v>#DIV/0!</v>
      </c>
      <c r="J66" s="20" t="e">
        <f>_xlfn.STDEV.S(B66:F66)</f>
        <v>#DIV/0!</v>
      </c>
      <c r="K66" s="21"/>
      <c r="L66" s="21"/>
      <c r="M66" s="21"/>
      <c r="N66" s="21"/>
      <c r="O66" s="21"/>
    </row>
    <row r="67" spans="1:15">
      <c r="A67" s="7" t="s">
        <v>26</v>
      </c>
      <c r="B67" s="8"/>
      <c r="C67" s="8"/>
      <c r="D67" s="8"/>
      <c r="E67" s="8"/>
      <c r="F67" s="8"/>
      <c r="G67" s="20">
        <f>MIN(B67:F67)</f>
        <v>0</v>
      </c>
      <c r="H67" s="20">
        <f>MAX(B67:F67)</f>
        <v>0</v>
      </c>
      <c r="I67" s="20" t="e">
        <f>AVERAGE(B67:F67)</f>
        <v>#DIV/0!</v>
      </c>
      <c r="J67" s="20" t="e">
        <f>_xlfn.STDEV.S(B67:F67)</f>
        <v>#DIV/0!</v>
      </c>
      <c r="K67" s="21"/>
      <c r="L67" s="21"/>
      <c r="M67" s="21"/>
      <c r="N67" s="21"/>
      <c r="O67" s="2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DFBC-0628-498C-9E2B-82ABC8E5B0FE}">
  <dimension ref="A1:U67"/>
  <sheetViews>
    <sheetView topLeftCell="A29" workbookViewId="0">
      <selection activeCell="E75" sqref="E75"/>
    </sheetView>
  </sheetViews>
  <sheetFormatPr defaultRowHeight="15"/>
  <cols>
    <col min="1" max="1" width="20.7109375" customWidth="1"/>
    <col min="2" max="9" width="10.7109375" customWidth="1"/>
    <col min="10" max="10" width="19.85546875" customWidth="1"/>
    <col min="11" max="11" width="17.7109375" customWidth="1"/>
    <col min="12" max="15" width="15.7109375" customWidth="1"/>
    <col min="16" max="17" width="10.7109375" customWidth="1"/>
  </cols>
  <sheetData>
    <row r="1" spans="1:2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21">
      <c r="A2" s="42" t="s">
        <v>1</v>
      </c>
      <c r="B2" s="43" t="s">
        <v>2</v>
      </c>
      <c r="C2" s="41"/>
      <c r="D2" s="41" t="s">
        <v>3</v>
      </c>
      <c r="E2" s="41" t="s">
        <v>38</v>
      </c>
      <c r="F2" s="41"/>
      <c r="G2" s="41"/>
      <c r="H2" s="41"/>
      <c r="I2" s="41"/>
      <c r="J2" s="41"/>
      <c r="K2" s="41"/>
      <c r="L2" s="41"/>
      <c r="M2" s="41" t="s">
        <v>39</v>
      </c>
      <c r="N2" s="41"/>
      <c r="O2" s="41"/>
      <c r="P2" s="41"/>
    </row>
    <row r="3" spans="1:21" ht="15.75">
      <c r="A3" s="41"/>
      <c r="B3" s="41"/>
      <c r="C3" s="41"/>
      <c r="D3" s="41"/>
      <c r="E3" s="41" t="s">
        <v>40</v>
      </c>
      <c r="F3" s="41"/>
      <c r="G3" s="28" t="s">
        <v>41</v>
      </c>
      <c r="H3" s="41"/>
      <c r="I3" s="41"/>
      <c r="J3" s="41"/>
      <c r="K3" s="44"/>
      <c r="L3" s="44"/>
      <c r="M3" s="45" t="s">
        <v>7</v>
      </c>
      <c r="N3" s="44"/>
      <c r="O3" s="44"/>
      <c r="P3" s="44"/>
    </row>
    <row r="4" spans="1:21" ht="18">
      <c r="A4" s="46" t="s">
        <v>8</v>
      </c>
      <c r="B4" s="43" t="s">
        <v>9</v>
      </c>
      <c r="C4" s="43" t="s">
        <v>10</v>
      </c>
      <c r="D4" s="43" t="s">
        <v>11</v>
      </c>
      <c r="E4" s="43" t="s">
        <v>12</v>
      </c>
      <c r="F4" s="43" t="s">
        <v>13</v>
      </c>
      <c r="G4" s="43" t="s">
        <v>14</v>
      </c>
      <c r="H4" s="43" t="s">
        <v>15</v>
      </c>
      <c r="I4" s="43" t="s">
        <v>16</v>
      </c>
      <c r="J4" s="43" t="s">
        <v>17</v>
      </c>
      <c r="K4" s="43" t="s">
        <v>18</v>
      </c>
      <c r="L4" s="43" t="s">
        <v>19</v>
      </c>
      <c r="M4" s="43" t="s">
        <v>20</v>
      </c>
      <c r="N4" s="43" t="s">
        <v>21</v>
      </c>
      <c r="O4" s="43" t="s">
        <v>22</v>
      </c>
      <c r="P4" s="43" t="s">
        <v>23</v>
      </c>
      <c r="Q4" s="10"/>
      <c r="R4" s="11"/>
      <c r="S4" s="11"/>
      <c r="T4" s="11"/>
      <c r="U4" s="11"/>
    </row>
    <row r="5" spans="1:21">
      <c r="A5" s="47" t="s">
        <v>24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22"/>
      <c r="R5" s="16"/>
      <c r="S5" s="16"/>
      <c r="T5" s="16"/>
      <c r="U5" s="16"/>
    </row>
    <row r="6" spans="1:21">
      <c r="A6" s="42" t="s">
        <v>25</v>
      </c>
      <c r="B6" s="29">
        <v>248.09</v>
      </c>
      <c r="C6" s="29">
        <v>248.04</v>
      </c>
      <c r="D6" s="29">
        <v>248.11</v>
      </c>
      <c r="E6" s="29">
        <v>248.08</v>
      </c>
      <c r="F6" s="29">
        <v>248.07</v>
      </c>
      <c r="G6" s="49">
        <v>248.04</v>
      </c>
      <c r="H6" s="49">
        <v>248.11</v>
      </c>
      <c r="I6" s="49">
        <v>248.08</v>
      </c>
      <c r="J6" s="49">
        <v>0.03</v>
      </c>
      <c r="K6" s="53"/>
      <c r="L6" s="53"/>
      <c r="M6" s="53"/>
      <c r="N6" s="53"/>
      <c r="O6" s="53"/>
      <c r="P6" s="52">
        <v>99.909000000000006</v>
      </c>
      <c r="Q6" s="14"/>
      <c r="R6" s="23"/>
      <c r="S6" s="23"/>
      <c r="T6" s="23"/>
      <c r="U6" s="23"/>
    </row>
    <row r="7" spans="1:21">
      <c r="A7" s="42" t="s">
        <v>26</v>
      </c>
      <c r="B7" s="29">
        <v>242.28</v>
      </c>
      <c r="C7" s="29">
        <v>242.1</v>
      </c>
      <c r="D7" s="29">
        <v>242.12</v>
      </c>
      <c r="E7" s="29">
        <v>242.3</v>
      </c>
      <c r="F7" s="29">
        <v>242.08</v>
      </c>
      <c r="G7" s="49">
        <v>242.08</v>
      </c>
      <c r="H7" s="49">
        <v>242.3</v>
      </c>
      <c r="I7" s="49">
        <v>242.18</v>
      </c>
      <c r="J7" s="49">
        <v>0.11</v>
      </c>
      <c r="K7" s="53"/>
      <c r="L7" s="53"/>
      <c r="M7" s="53"/>
      <c r="N7" s="53"/>
      <c r="O7" s="53"/>
      <c r="P7" s="52">
        <v>99.911000000000001</v>
      </c>
      <c r="Q7" s="14"/>
      <c r="R7" s="23"/>
      <c r="S7" s="23"/>
      <c r="T7" s="23"/>
      <c r="U7" s="23"/>
    </row>
    <row r="8" spans="1:21">
      <c r="A8" s="47" t="s">
        <v>27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22"/>
      <c r="R8" s="16"/>
      <c r="S8" s="16"/>
      <c r="T8" s="16"/>
      <c r="U8" s="16"/>
    </row>
    <row r="9" spans="1:21">
      <c r="A9" s="42" t="s">
        <v>25</v>
      </c>
      <c r="B9" s="29">
        <v>9156.25</v>
      </c>
      <c r="C9" s="29">
        <v>9155.58</v>
      </c>
      <c r="D9" s="29">
        <v>9157.82</v>
      </c>
      <c r="E9" s="29">
        <v>9155.76</v>
      </c>
      <c r="F9" s="29">
        <v>9155.43</v>
      </c>
      <c r="G9" s="49">
        <v>9155.43</v>
      </c>
      <c r="H9" s="49">
        <v>9157.82</v>
      </c>
      <c r="I9" s="49">
        <v>9156.17</v>
      </c>
      <c r="J9" s="49">
        <v>0.97</v>
      </c>
      <c r="K9" s="53"/>
      <c r="L9" s="53"/>
      <c r="M9" s="53"/>
      <c r="N9" s="53"/>
      <c r="O9" s="53"/>
      <c r="P9" s="52">
        <v>99.965999999999994</v>
      </c>
      <c r="Q9" s="14"/>
      <c r="R9" s="23"/>
      <c r="S9" s="23"/>
      <c r="T9" s="23"/>
      <c r="U9" s="23"/>
    </row>
    <row r="10" spans="1:21">
      <c r="A10" s="42" t="s">
        <v>26</v>
      </c>
      <c r="B10" s="29">
        <v>8945.06</v>
      </c>
      <c r="C10" s="29">
        <v>8942.2099999999991</v>
      </c>
      <c r="D10" s="29">
        <v>8944.3700000000008</v>
      </c>
      <c r="E10" s="29">
        <v>8943.48</v>
      </c>
      <c r="F10" s="29">
        <v>8943.58</v>
      </c>
      <c r="G10" s="49">
        <v>8942.2099999999991</v>
      </c>
      <c r="H10" s="49">
        <v>8945.06</v>
      </c>
      <c r="I10" s="49">
        <v>8943.74</v>
      </c>
      <c r="J10" s="49">
        <v>1.07</v>
      </c>
      <c r="K10" s="53"/>
      <c r="L10" s="53"/>
      <c r="M10" s="53"/>
      <c r="N10" s="53"/>
      <c r="O10" s="53"/>
      <c r="P10" s="52">
        <v>99.965999999999994</v>
      </c>
      <c r="Q10" s="14"/>
      <c r="R10" s="23"/>
      <c r="S10" s="23"/>
      <c r="T10" s="23"/>
      <c r="U10" s="23"/>
    </row>
    <row r="11" spans="1:21">
      <c r="A11" s="47" t="s">
        <v>28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22"/>
      <c r="R11" s="16"/>
      <c r="S11" s="16"/>
      <c r="T11" s="16"/>
      <c r="U11" s="16"/>
    </row>
    <row r="12" spans="1:21">
      <c r="A12" s="42" t="s">
        <v>25</v>
      </c>
      <c r="B12" s="29">
        <v>24005.95</v>
      </c>
      <c r="C12" s="29">
        <v>24001.89</v>
      </c>
      <c r="D12" s="29">
        <v>24003.3</v>
      </c>
      <c r="E12" s="29">
        <v>24004.57</v>
      </c>
      <c r="F12" s="29">
        <v>24003.97</v>
      </c>
      <c r="G12" s="49">
        <v>24001.89</v>
      </c>
      <c r="H12" s="49">
        <v>24005.95</v>
      </c>
      <c r="I12" s="49">
        <v>24003.94</v>
      </c>
      <c r="J12" s="49">
        <v>1.5</v>
      </c>
      <c r="K12" s="53"/>
      <c r="L12" s="53"/>
      <c r="M12" s="53"/>
      <c r="N12" s="53"/>
      <c r="O12" s="53"/>
      <c r="P12" s="52">
        <v>99.965999999999994</v>
      </c>
      <c r="Q12" s="14"/>
      <c r="R12" s="23"/>
      <c r="S12" s="23"/>
      <c r="T12" s="23"/>
      <c r="U12" s="23"/>
    </row>
    <row r="13" spans="1:21">
      <c r="A13" s="42" t="s">
        <v>26</v>
      </c>
      <c r="B13" s="29">
        <v>23448.42</v>
      </c>
      <c r="C13" s="29">
        <v>23443.23</v>
      </c>
      <c r="D13" s="29">
        <v>23446.06</v>
      </c>
      <c r="E13" s="29">
        <v>23445.23</v>
      </c>
      <c r="F13" s="29">
        <v>23446.2</v>
      </c>
      <c r="G13" s="49">
        <v>23443.23</v>
      </c>
      <c r="H13" s="49">
        <v>23448.42</v>
      </c>
      <c r="I13" s="49">
        <v>23445.83</v>
      </c>
      <c r="J13" s="49">
        <v>1.87</v>
      </c>
      <c r="K13" s="53"/>
      <c r="L13" s="53"/>
      <c r="M13" s="53"/>
      <c r="N13" s="53"/>
      <c r="O13" s="53"/>
      <c r="P13" s="52">
        <v>99.965999999999994</v>
      </c>
      <c r="Q13" s="14"/>
      <c r="R13" s="23"/>
      <c r="S13" s="23"/>
      <c r="T13" s="23"/>
      <c r="U13" s="23"/>
    </row>
    <row r="14" spans="1:2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spans="1:21">
      <c r="A15" s="42" t="s">
        <v>29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1:21" ht="15.7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4"/>
      <c r="L16" s="44"/>
      <c r="M16" s="45" t="s">
        <v>7</v>
      </c>
      <c r="N16" s="44"/>
      <c r="O16" s="44"/>
      <c r="P16" s="44"/>
    </row>
    <row r="17" spans="1:16" ht="18">
      <c r="A17" s="46" t="s">
        <v>30</v>
      </c>
      <c r="B17" s="43" t="s">
        <v>9</v>
      </c>
      <c r="C17" s="43" t="s">
        <v>10</v>
      </c>
      <c r="D17" s="43" t="s">
        <v>11</v>
      </c>
      <c r="E17" s="43" t="s">
        <v>12</v>
      </c>
      <c r="F17" s="43" t="s">
        <v>13</v>
      </c>
      <c r="G17" s="43" t="s">
        <v>14</v>
      </c>
      <c r="H17" s="43" t="s">
        <v>15</v>
      </c>
      <c r="I17" s="43" t="s">
        <v>16</v>
      </c>
      <c r="J17" s="43" t="s">
        <v>17</v>
      </c>
      <c r="K17" s="43" t="s">
        <v>18</v>
      </c>
      <c r="L17" s="43" t="s">
        <v>19</v>
      </c>
      <c r="M17" s="43" t="s">
        <v>20</v>
      </c>
      <c r="N17" s="43" t="s">
        <v>21</v>
      </c>
      <c r="O17" s="43" t="s">
        <v>22</v>
      </c>
      <c r="P17" s="43" t="s">
        <v>23</v>
      </c>
    </row>
    <row r="18" spans="1:16">
      <c r="A18" s="47" t="s">
        <v>24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</row>
    <row r="19" spans="1:16">
      <c r="A19" s="42" t="s">
        <v>25</v>
      </c>
      <c r="B19" s="29">
        <v>252.18</v>
      </c>
      <c r="C19" s="29">
        <v>251.98</v>
      </c>
      <c r="D19" s="29">
        <v>251.94</v>
      </c>
      <c r="E19" s="29">
        <v>251.94</v>
      </c>
      <c r="F19" s="29">
        <v>251.82</v>
      </c>
      <c r="G19" s="49">
        <v>251.82</v>
      </c>
      <c r="H19" s="49">
        <v>252.18</v>
      </c>
      <c r="I19" s="49">
        <v>251.97</v>
      </c>
      <c r="J19" s="49">
        <v>0.13</v>
      </c>
      <c r="K19" s="53"/>
      <c r="L19" s="53"/>
      <c r="M19" s="53"/>
      <c r="N19" s="53"/>
      <c r="O19" s="53"/>
      <c r="P19" s="52">
        <v>99.724999999999994</v>
      </c>
    </row>
    <row r="20" spans="1:16">
      <c r="A20" s="42" t="s">
        <v>26</v>
      </c>
      <c r="B20" s="29">
        <v>269.25</v>
      </c>
      <c r="C20" s="29">
        <v>269.89</v>
      </c>
      <c r="D20" s="29">
        <v>269.70999999999998</v>
      </c>
      <c r="E20" s="29">
        <v>269.29000000000002</v>
      </c>
      <c r="F20" s="29">
        <v>269.89</v>
      </c>
      <c r="G20" s="49">
        <v>269.25</v>
      </c>
      <c r="H20" s="49">
        <v>269.89</v>
      </c>
      <c r="I20" s="49">
        <v>269.61</v>
      </c>
      <c r="J20" s="49">
        <v>0.32</v>
      </c>
      <c r="K20" s="53"/>
      <c r="L20" s="53"/>
      <c r="M20" s="53"/>
      <c r="N20" s="53"/>
      <c r="O20" s="53"/>
      <c r="P20" s="52">
        <v>99.903999999999996</v>
      </c>
    </row>
    <row r="21" spans="1:16">
      <c r="A21" s="47" t="s">
        <v>27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  <row r="22" spans="1:16">
      <c r="A22" s="42" t="s">
        <v>25</v>
      </c>
      <c r="B22" s="29">
        <v>8499.76</v>
      </c>
      <c r="C22" s="29">
        <v>8500.65</v>
      </c>
      <c r="D22" s="29">
        <v>8501.35</v>
      </c>
      <c r="E22" s="29">
        <v>8498.27</v>
      </c>
      <c r="F22" s="29">
        <v>8501.73</v>
      </c>
      <c r="G22" s="49">
        <v>8498.27</v>
      </c>
      <c r="H22" s="49">
        <v>8501.73</v>
      </c>
      <c r="I22" s="49">
        <v>8500.35</v>
      </c>
      <c r="J22" s="49">
        <v>1.38</v>
      </c>
      <c r="K22" s="53"/>
      <c r="L22" s="53"/>
      <c r="M22" s="53"/>
      <c r="N22" s="53"/>
      <c r="O22" s="53"/>
      <c r="P22" s="52">
        <v>99.989000000000004</v>
      </c>
    </row>
    <row r="23" spans="1:16">
      <c r="A23" s="42" t="s">
        <v>26</v>
      </c>
      <c r="B23" s="29">
        <v>9038.75</v>
      </c>
      <c r="C23" s="29">
        <v>9035.1</v>
      </c>
      <c r="D23" s="29">
        <v>9038.48</v>
      </c>
      <c r="E23" s="29">
        <v>9040.1299999999992</v>
      </c>
      <c r="F23" s="29">
        <v>9041.0300000000007</v>
      </c>
      <c r="G23" s="49">
        <v>9035.1</v>
      </c>
      <c r="H23" s="49">
        <v>9041.0300000000007</v>
      </c>
      <c r="I23" s="49">
        <v>9038.7000000000007</v>
      </c>
      <c r="J23" s="49">
        <v>2.2599999999999998</v>
      </c>
      <c r="K23" s="53"/>
      <c r="L23" s="53"/>
      <c r="M23" s="53"/>
      <c r="N23" s="53"/>
      <c r="O23" s="53"/>
      <c r="P23" s="52">
        <v>99.995000000000005</v>
      </c>
    </row>
    <row r="24" spans="1:16">
      <c r="A24" s="47" t="s">
        <v>28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</row>
    <row r="25" spans="1:16">
      <c r="A25" s="42" t="s">
        <v>25</v>
      </c>
      <c r="B25" s="29">
        <v>23287.06</v>
      </c>
      <c r="C25" s="29">
        <v>23357.21</v>
      </c>
      <c r="D25" s="29">
        <v>23225.67</v>
      </c>
      <c r="E25" s="29">
        <v>23417.21</v>
      </c>
      <c r="F25" s="29">
        <v>23299.86</v>
      </c>
      <c r="G25" s="49">
        <v>23225.67</v>
      </c>
      <c r="H25" s="49">
        <v>23417.21</v>
      </c>
      <c r="I25" s="49">
        <v>23317.4</v>
      </c>
      <c r="J25" s="49">
        <v>72.78</v>
      </c>
      <c r="K25" s="53"/>
      <c r="L25" s="53"/>
      <c r="M25" s="53"/>
      <c r="N25" s="53"/>
      <c r="O25" s="53"/>
      <c r="P25" s="52">
        <v>99.945999999999998</v>
      </c>
    </row>
    <row r="26" spans="1:16">
      <c r="A26" s="42" t="s">
        <v>26</v>
      </c>
      <c r="B26" s="29">
        <v>24685.67</v>
      </c>
      <c r="C26" s="29">
        <v>24679.360000000001</v>
      </c>
      <c r="D26" s="29">
        <v>24684.46</v>
      </c>
      <c r="E26" s="29">
        <v>24686.22</v>
      </c>
      <c r="F26" s="29">
        <v>24680.92</v>
      </c>
      <c r="G26" s="49">
        <v>24679.360000000001</v>
      </c>
      <c r="H26" s="49">
        <v>24686.22</v>
      </c>
      <c r="I26" s="49">
        <v>24683.33</v>
      </c>
      <c r="J26" s="49">
        <v>3.03</v>
      </c>
      <c r="K26" s="53"/>
      <c r="L26" s="53"/>
      <c r="M26" s="53"/>
      <c r="N26" s="53"/>
      <c r="O26" s="53"/>
      <c r="P26" s="52">
        <v>99.960999999999999</v>
      </c>
    </row>
    <row r="27" spans="1:16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spans="1:16">
      <c r="A28" s="42" t="s">
        <v>29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</row>
    <row r="29" spans="1:16" ht="15.7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4"/>
      <c r="L29" s="44"/>
      <c r="M29" s="45" t="s">
        <v>7</v>
      </c>
      <c r="N29" s="44"/>
      <c r="O29" s="44"/>
      <c r="P29" s="44"/>
    </row>
    <row r="30" spans="1:16" ht="18">
      <c r="A30" s="46" t="s">
        <v>31</v>
      </c>
      <c r="B30" s="43" t="s">
        <v>9</v>
      </c>
      <c r="C30" s="43" t="s">
        <v>10</v>
      </c>
      <c r="D30" s="43" t="s">
        <v>11</v>
      </c>
      <c r="E30" s="43" t="s">
        <v>12</v>
      </c>
      <c r="F30" s="43" t="s">
        <v>13</v>
      </c>
      <c r="G30" s="43" t="s">
        <v>14</v>
      </c>
      <c r="H30" s="43" t="s">
        <v>15</v>
      </c>
      <c r="I30" s="43" t="s">
        <v>16</v>
      </c>
      <c r="J30" s="43" t="s">
        <v>17</v>
      </c>
      <c r="K30" s="43" t="s">
        <v>18</v>
      </c>
      <c r="L30" s="43" t="s">
        <v>19</v>
      </c>
      <c r="M30" s="43" t="s">
        <v>20</v>
      </c>
      <c r="N30" s="43" t="s">
        <v>21</v>
      </c>
      <c r="O30" s="43" t="s">
        <v>22</v>
      </c>
      <c r="P30" s="43" t="s">
        <v>23</v>
      </c>
    </row>
    <row r="31" spans="1:16">
      <c r="A31" s="47" t="s">
        <v>24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</row>
    <row r="32" spans="1:16">
      <c r="A32" s="42" t="s">
        <v>25</v>
      </c>
      <c r="B32" s="29">
        <v>249.4</v>
      </c>
      <c r="C32" s="29">
        <v>248.4</v>
      </c>
      <c r="D32" s="29">
        <v>248.43</v>
      </c>
      <c r="E32" s="29">
        <v>248.43</v>
      </c>
      <c r="F32" s="29">
        <v>248.37</v>
      </c>
      <c r="G32" s="49">
        <v>248.37</v>
      </c>
      <c r="H32" s="49">
        <v>249.4</v>
      </c>
      <c r="I32" s="49">
        <v>248.61</v>
      </c>
      <c r="J32" s="49">
        <v>0.44</v>
      </c>
      <c r="K32" s="53"/>
      <c r="L32" s="53"/>
      <c r="M32" s="53"/>
      <c r="N32" s="53"/>
      <c r="O32" s="53"/>
      <c r="P32" s="52">
        <v>99.89</v>
      </c>
    </row>
    <row r="33" spans="1:16">
      <c r="A33" s="42" t="s">
        <v>26</v>
      </c>
      <c r="B33" s="29">
        <v>241.01</v>
      </c>
      <c r="C33" s="29">
        <v>241.19</v>
      </c>
      <c r="D33" s="29">
        <v>240.93</v>
      </c>
      <c r="E33" s="29">
        <v>240.89</v>
      </c>
      <c r="F33" s="29">
        <v>240.96</v>
      </c>
      <c r="G33" s="49">
        <v>240.89</v>
      </c>
      <c r="H33" s="49">
        <v>241.19</v>
      </c>
      <c r="I33" s="49">
        <v>241</v>
      </c>
      <c r="J33" s="49">
        <v>0.12</v>
      </c>
      <c r="K33" s="53"/>
      <c r="L33" s="53"/>
      <c r="M33" s="53"/>
      <c r="N33" s="53"/>
      <c r="O33" s="53"/>
      <c r="P33" s="52">
        <v>99.894000000000005</v>
      </c>
    </row>
    <row r="34" spans="1:16">
      <c r="A34" s="47" t="s">
        <v>27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</row>
    <row r="35" spans="1:16">
      <c r="A35" s="42" t="s">
        <v>25</v>
      </c>
      <c r="B35" s="29">
        <v>9174.82</v>
      </c>
      <c r="C35" s="29">
        <v>9172.02</v>
      </c>
      <c r="D35" s="29">
        <v>9168.44</v>
      </c>
      <c r="E35" s="29">
        <v>9175.26</v>
      </c>
      <c r="F35" s="29">
        <v>9177.85</v>
      </c>
      <c r="G35" s="49">
        <v>9168.44</v>
      </c>
      <c r="H35" s="49">
        <v>9177.85</v>
      </c>
      <c r="I35" s="49">
        <v>9173.68</v>
      </c>
      <c r="J35" s="49">
        <v>3.58</v>
      </c>
      <c r="K35" s="53"/>
      <c r="L35" s="53"/>
      <c r="M35" s="53"/>
      <c r="N35" s="53"/>
      <c r="O35" s="53"/>
      <c r="P35" s="52">
        <v>99.988</v>
      </c>
    </row>
    <row r="36" spans="1:16">
      <c r="A36" s="42" t="s">
        <v>26</v>
      </c>
      <c r="B36" s="29">
        <v>8891.0300000000007</v>
      </c>
      <c r="C36" s="29">
        <v>8894.68</v>
      </c>
      <c r="D36" s="29">
        <v>8895.7000000000007</v>
      </c>
      <c r="E36" s="29">
        <v>8893.4599999999991</v>
      </c>
      <c r="F36" s="29">
        <v>8891.02</v>
      </c>
      <c r="G36" s="49">
        <v>8891.02</v>
      </c>
      <c r="H36" s="49">
        <v>8895.7000000000007</v>
      </c>
      <c r="I36" s="49">
        <v>8893.18</v>
      </c>
      <c r="J36" s="49">
        <v>2.12</v>
      </c>
      <c r="K36" s="53"/>
      <c r="L36" s="53"/>
      <c r="M36" s="53"/>
      <c r="N36" s="53"/>
      <c r="O36" s="53"/>
      <c r="P36" s="52">
        <v>99.989000000000004</v>
      </c>
    </row>
    <row r="37" spans="1:16">
      <c r="A37" s="47" t="s">
        <v>28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</row>
    <row r="38" spans="1:16">
      <c r="A38" s="42" t="s">
        <v>25</v>
      </c>
      <c r="B38" s="29">
        <v>24059.33</v>
      </c>
      <c r="C38" s="29">
        <v>24058.6</v>
      </c>
      <c r="D38" s="29">
        <v>24045.85</v>
      </c>
      <c r="E38" s="29">
        <v>24054</v>
      </c>
      <c r="F38" s="29">
        <v>24056.47</v>
      </c>
      <c r="G38" s="49">
        <v>24045.85</v>
      </c>
      <c r="H38" s="49">
        <v>24059.33</v>
      </c>
      <c r="I38" s="49">
        <v>24054.85</v>
      </c>
      <c r="J38" s="49">
        <v>5.44</v>
      </c>
      <c r="K38" s="53"/>
      <c r="L38" s="53"/>
      <c r="M38" s="53"/>
      <c r="N38" s="53"/>
      <c r="O38" s="53"/>
      <c r="P38" s="52">
        <v>99.965000000000003</v>
      </c>
    </row>
    <row r="39" spans="1:16">
      <c r="A39" s="42" t="s">
        <v>26</v>
      </c>
      <c r="B39" s="29">
        <v>23323.99</v>
      </c>
      <c r="C39" s="29">
        <v>23319.84</v>
      </c>
      <c r="D39" s="29">
        <v>23318.73</v>
      </c>
      <c r="E39" s="29">
        <v>23320.92</v>
      </c>
      <c r="F39" s="29">
        <v>23318.02</v>
      </c>
      <c r="G39" s="49">
        <v>23318.02</v>
      </c>
      <c r="H39" s="49">
        <v>23323.99</v>
      </c>
      <c r="I39" s="49">
        <v>23320.3</v>
      </c>
      <c r="J39" s="49">
        <v>2.34</v>
      </c>
      <c r="K39" s="53"/>
      <c r="L39" s="53"/>
      <c r="M39" s="53"/>
      <c r="N39" s="53"/>
      <c r="O39" s="53"/>
      <c r="P39" s="52">
        <v>99.965000000000003</v>
      </c>
    </row>
    <row r="40" spans="1:16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</row>
    <row r="41" spans="1:16">
      <c r="A41" s="42" t="s">
        <v>29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</row>
    <row r="42" spans="1:16" ht="15.7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4"/>
      <c r="L42" s="44"/>
      <c r="M42" s="45" t="s">
        <v>7</v>
      </c>
      <c r="N42" s="44"/>
      <c r="O42" s="44"/>
      <c r="P42" s="44"/>
    </row>
    <row r="43" spans="1:16" ht="18">
      <c r="A43" s="46" t="s">
        <v>32</v>
      </c>
      <c r="B43" s="43" t="s">
        <v>9</v>
      </c>
      <c r="C43" s="43" t="s">
        <v>10</v>
      </c>
      <c r="D43" s="43" t="s">
        <v>11</v>
      </c>
      <c r="E43" s="43" t="s">
        <v>12</v>
      </c>
      <c r="F43" s="43" t="s">
        <v>13</v>
      </c>
      <c r="G43" s="43" t="s">
        <v>14</v>
      </c>
      <c r="H43" s="43" t="s">
        <v>15</v>
      </c>
      <c r="I43" s="43" t="s">
        <v>16</v>
      </c>
      <c r="J43" s="43" t="s">
        <v>17</v>
      </c>
      <c r="K43" s="43" t="s">
        <v>18</v>
      </c>
      <c r="L43" s="43" t="s">
        <v>19</v>
      </c>
      <c r="M43" s="43" t="s">
        <v>20</v>
      </c>
      <c r="N43" s="43" t="s">
        <v>21</v>
      </c>
      <c r="O43" s="43" t="s">
        <v>22</v>
      </c>
      <c r="P43" s="43" t="s">
        <v>23</v>
      </c>
    </row>
    <row r="44" spans="1:16">
      <c r="A44" s="47" t="s">
        <v>24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</row>
    <row r="45" spans="1:16">
      <c r="A45" s="42" t="s">
        <v>25</v>
      </c>
      <c r="B45" s="29">
        <v>276.55</v>
      </c>
      <c r="C45" s="29">
        <v>276.33999999999997</v>
      </c>
      <c r="D45" s="29">
        <v>276.87</v>
      </c>
      <c r="E45" s="29">
        <v>276.64</v>
      </c>
      <c r="F45" s="29">
        <v>276.5</v>
      </c>
      <c r="G45" s="49">
        <v>276.33999999999997</v>
      </c>
      <c r="H45" s="49">
        <v>276.87</v>
      </c>
      <c r="I45" s="49">
        <v>276.58</v>
      </c>
      <c r="J45" s="49">
        <v>0.2</v>
      </c>
      <c r="K45" s="53"/>
      <c r="L45" s="53"/>
      <c r="M45" s="53"/>
      <c r="N45" s="53"/>
      <c r="O45" s="53"/>
      <c r="P45" s="52">
        <v>99.924000000000007</v>
      </c>
    </row>
    <row r="46" spans="1:16">
      <c r="A46" s="42" t="s">
        <v>26</v>
      </c>
      <c r="B46" s="29">
        <v>277.58</v>
      </c>
      <c r="C46" s="29">
        <v>277.12</v>
      </c>
      <c r="D46" s="29">
        <v>277.19</v>
      </c>
      <c r="E46" s="29">
        <v>277.20999999999998</v>
      </c>
      <c r="F46" s="29">
        <v>277.42</v>
      </c>
      <c r="G46" s="49">
        <v>277.12</v>
      </c>
      <c r="H46" s="49">
        <v>277.58</v>
      </c>
      <c r="I46" s="49">
        <v>277.3</v>
      </c>
      <c r="J46" s="49">
        <v>0.19</v>
      </c>
      <c r="K46" s="53"/>
      <c r="L46" s="53"/>
      <c r="M46" s="53"/>
      <c r="N46" s="53"/>
      <c r="O46" s="53"/>
      <c r="P46" s="52">
        <v>99.924999999999997</v>
      </c>
    </row>
    <row r="47" spans="1:16">
      <c r="A47" s="47" t="s">
        <v>27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</row>
    <row r="48" spans="1:16">
      <c r="A48" s="42" t="s">
        <v>25</v>
      </c>
      <c r="B48" s="29">
        <v>8814.08</v>
      </c>
      <c r="C48" s="29">
        <v>8811.64</v>
      </c>
      <c r="D48" s="29">
        <v>8807.11</v>
      </c>
      <c r="E48" s="29">
        <v>8810.5499999999993</v>
      </c>
      <c r="F48" s="29">
        <v>8808.01</v>
      </c>
      <c r="G48" s="49">
        <v>8807.11</v>
      </c>
      <c r="H48" s="49">
        <v>8814.08</v>
      </c>
      <c r="I48" s="49">
        <v>8810.2800000000007</v>
      </c>
      <c r="J48" s="49">
        <v>2.81</v>
      </c>
      <c r="K48" s="53"/>
      <c r="L48" s="53"/>
      <c r="M48" s="53"/>
      <c r="N48" s="53"/>
      <c r="O48" s="53"/>
      <c r="P48" s="52">
        <v>99.956000000000003</v>
      </c>
    </row>
    <row r="49" spans="1:17">
      <c r="A49" s="42" t="s">
        <v>26</v>
      </c>
      <c r="B49" s="29">
        <v>8831.66</v>
      </c>
      <c r="C49" s="29">
        <v>8833.93</v>
      </c>
      <c r="D49" s="29">
        <v>8835.1200000000008</v>
      </c>
      <c r="E49" s="29">
        <v>8830.7000000000007</v>
      </c>
      <c r="F49" s="29">
        <v>8831.9699999999993</v>
      </c>
      <c r="G49" s="49">
        <v>8830.7000000000007</v>
      </c>
      <c r="H49" s="49">
        <v>8835.1200000000008</v>
      </c>
      <c r="I49" s="49">
        <v>8832.68</v>
      </c>
      <c r="J49" s="49">
        <v>1.8</v>
      </c>
      <c r="K49" s="53"/>
      <c r="L49" s="53"/>
      <c r="M49" s="53"/>
      <c r="N49" s="53"/>
      <c r="O49" s="53"/>
      <c r="P49" s="52">
        <v>99.957999999999998</v>
      </c>
    </row>
    <row r="50" spans="1:17">
      <c r="A50" s="47" t="s">
        <v>28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</row>
    <row r="51" spans="1:17">
      <c r="A51" s="42" t="s">
        <v>25</v>
      </c>
      <c r="B51" s="29">
        <v>23113.759999999998</v>
      </c>
      <c r="C51" s="29">
        <v>23114.2</v>
      </c>
      <c r="D51" s="29">
        <v>23111.75</v>
      </c>
      <c r="E51" s="29">
        <v>23120.85</v>
      </c>
      <c r="F51" s="29">
        <v>23116.34</v>
      </c>
      <c r="G51" s="49">
        <v>23111.75</v>
      </c>
      <c r="H51" s="49">
        <v>23120.85</v>
      </c>
      <c r="I51" s="49">
        <v>23115.38</v>
      </c>
      <c r="J51" s="49">
        <v>3.47</v>
      </c>
      <c r="K51" s="53"/>
      <c r="L51" s="53"/>
      <c r="M51" s="53"/>
      <c r="N51" s="53"/>
      <c r="O51" s="53"/>
      <c r="P51" s="52">
        <v>99.963999999999999</v>
      </c>
    </row>
    <row r="52" spans="1:17">
      <c r="A52" s="42" t="s">
        <v>26</v>
      </c>
      <c r="B52" s="29">
        <v>23159.16</v>
      </c>
      <c r="C52" s="29">
        <v>23161.51</v>
      </c>
      <c r="D52" s="29">
        <v>23163.66</v>
      </c>
      <c r="E52" s="29">
        <v>23160.15</v>
      </c>
      <c r="F52" s="29">
        <v>23160.95</v>
      </c>
      <c r="G52" s="49">
        <v>23159.16</v>
      </c>
      <c r="H52" s="49">
        <v>23163.66</v>
      </c>
      <c r="I52" s="49">
        <v>23161.09</v>
      </c>
      <c r="J52" s="49">
        <v>1.69</v>
      </c>
      <c r="K52" s="53"/>
      <c r="L52" s="53"/>
      <c r="M52" s="53"/>
      <c r="N52" s="53"/>
      <c r="O52" s="53"/>
      <c r="P52" s="52">
        <v>99.965000000000003</v>
      </c>
    </row>
    <row r="56" spans="1:17">
      <c r="A56" s="2" t="s">
        <v>1</v>
      </c>
      <c r="B56" s="1" t="s">
        <v>33</v>
      </c>
      <c r="D56" t="s">
        <v>34</v>
      </c>
      <c r="L56" s="2"/>
    </row>
    <row r="57" spans="1:17" ht="15.75">
      <c r="D57" t="s">
        <v>35</v>
      </c>
      <c r="F57" t="s">
        <v>36</v>
      </c>
      <c r="K57" s="26"/>
      <c r="L57" s="26"/>
      <c r="M57" s="27" t="s">
        <v>7</v>
      </c>
      <c r="N57" s="26"/>
      <c r="O57" s="26"/>
    </row>
    <row r="58" spans="1:17" ht="18.75">
      <c r="A58" s="3" t="s">
        <v>8</v>
      </c>
      <c r="B58" s="4" t="s">
        <v>9</v>
      </c>
      <c r="C58" s="4" t="s">
        <v>10</v>
      </c>
      <c r="D58" s="4" t="s">
        <v>11</v>
      </c>
      <c r="E58" s="4" t="s">
        <v>12</v>
      </c>
      <c r="F58" s="4" t="s">
        <v>13</v>
      </c>
      <c r="G58" s="4" t="s">
        <v>14</v>
      </c>
      <c r="H58" s="4" t="s">
        <v>15</v>
      </c>
      <c r="I58" s="4" t="s">
        <v>16</v>
      </c>
      <c r="J58" s="4" t="s">
        <v>17</v>
      </c>
      <c r="K58" s="4" t="s">
        <v>18</v>
      </c>
      <c r="L58" s="4" t="s">
        <v>19</v>
      </c>
      <c r="M58" s="4" t="s">
        <v>20</v>
      </c>
      <c r="N58" s="4" t="s">
        <v>21</v>
      </c>
      <c r="O58" s="4" t="s">
        <v>22</v>
      </c>
    </row>
    <row r="59" spans="1:17">
      <c r="A59" s="19" t="s">
        <v>24</v>
      </c>
      <c r="B59" s="18"/>
      <c r="C59" s="18"/>
      <c r="D59" s="18"/>
      <c r="E59" s="18"/>
      <c r="F59" s="18"/>
      <c r="G59" s="19"/>
      <c r="H59" s="19"/>
      <c r="I59" s="19"/>
      <c r="J59" s="19"/>
      <c r="K59" s="18"/>
      <c r="L59" s="18"/>
      <c r="M59" s="18"/>
      <c r="N59" s="18"/>
      <c r="O59" s="18"/>
    </row>
    <row r="60" spans="1:17">
      <c r="A60" s="7" t="s">
        <v>25</v>
      </c>
      <c r="B60" s="8">
        <v>492.01</v>
      </c>
      <c r="C60" s="8">
        <v>483.41</v>
      </c>
      <c r="D60" s="8">
        <v>482.65</v>
      </c>
      <c r="E60" s="8">
        <v>483.23</v>
      </c>
      <c r="F60" s="8">
        <v>482.93</v>
      </c>
      <c r="G60" s="20">
        <f>MIN(B60:F60)</f>
        <v>482.65</v>
      </c>
      <c r="H60" s="20">
        <f>MAX(B60:F60)</f>
        <v>492.01</v>
      </c>
      <c r="I60" s="20">
        <f>AVERAGE(B60:F60)</f>
        <v>484.846</v>
      </c>
      <c r="J60" s="20">
        <f>_xlfn.STDEV.S(B60:F60)</f>
        <v>4.0152808120976982</v>
      </c>
      <c r="K60" s="21"/>
      <c r="L60" s="21"/>
      <c r="M60" s="21"/>
      <c r="N60" s="21"/>
      <c r="O60" s="21"/>
      <c r="P60" t="s">
        <v>37</v>
      </c>
      <c r="Q60">
        <v>400</v>
      </c>
    </row>
    <row r="61" spans="1:17">
      <c r="A61" s="7" t="s">
        <v>26</v>
      </c>
      <c r="B61" s="8">
        <v>507.83</v>
      </c>
      <c r="C61" s="8">
        <v>518.9</v>
      </c>
      <c r="D61" s="8">
        <v>518.42999999999995</v>
      </c>
      <c r="E61" s="8">
        <v>520.94000000000005</v>
      </c>
      <c r="F61" s="8">
        <v>515.79999999999995</v>
      </c>
      <c r="G61" s="20">
        <f>MIN(B61:F61)</f>
        <v>507.83</v>
      </c>
      <c r="H61" s="20">
        <f>MAX(B61:F61)</f>
        <v>520.94000000000005</v>
      </c>
      <c r="I61" s="20">
        <f>AVERAGE(B61:F61)</f>
        <v>516.37999999999988</v>
      </c>
      <c r="J61" s="20">
        <f>_xlfn.STDEV.S(B61:F61)</f>
        <v>5.118237001155781</v>
      </c>
      <c r="K61" s="21"/>
      <c r="L61" s="21"/>
      <c r="M61" s="21"/>
      <c r="N61" s="21"/>
      <c r="O61" s="21"/>
    </row>
    <row r="62" spans="1:17">
      <c r="A62" s="19" t="s">
        <v>27</v>
      </c>
      <c r="B62" s="18"/>
      <c r="C62" s="18"/>
      <c r="D62" s="18"/>
      <c r="E62" s="18"/>
      <c r="F62" s="18"/>
      <c r="G62" s="19"/>
      <c r="H62" s="19"/>
      <c r="I62" s="19"/>
      <c r="J62" s="19"/>
      <c r="K62" s="18"/>
      <c r="L62" s="18"/>
      <c r="M62" s="18"/>
      <c r="N62" s="18"/>
      <c r="O62" s="18"/>
    </row>
    <row r="63" spans="1:17">
      <c r="A63" s="7" t="s">
        <v>25</v>
      </c>
      <c r="B63" s="8"/>
      <c r="C63" s="8"/>
      <c r="D63" s="8"/>
      <c r="E63" s="8"/>
      <c r="F63" s="8"/>
      <c r="G63" s="20">
        <f>MIN(B63:F63)</f>
        <v>0</v>
      </c>
      <c r="H63" s="20">
        <f>MAX(B63:F63)</f>
        <v>0</v>
      </c>
      <c r="I63" s="20" t="e">
        <f>AVERAGE(B63:F63)</f>
        <v>#DIV/0!</v>
      </c>
      <c r="J63" s="20" t="e">
        <f>_xlfn.STDEV.S(B63:F63)</f>
        <v>#DIV/0!</v>
      </c>
      <c r="K63" s="21"/>
      <c r="L63" s="21"/>
      <c r="M63" s="21"/>
      <c r="N63" s="21"/>
      <c r="O63" s="21"/>
    </row>
    <row r="64" spans="1:17">
      <c r="A64" s="7" t="s">
        <v>26</v>
      </c>
      <c r="B64" s="8"/>
      <c r="C64" s="8"/>
      <c r="D64" s="8"/>
      <c r="E64" s="8"/>
      <c r="F64" s="8"/>
      <c r="G64" s="20">
        <f>MIN(B64:F64)</f>
        <v>0</v>
      </c>
      <c r="H64" s="20">
        <f>MAX(B64:F64)</f>
        <v>0</v>
      </c>
      <c r="I64" s="20" t="e">
        <f>AVERAGE(B64:F64)</f>
        <v>#DIV/0!</v>
      </c>
      <c r="J64" s="20" t="e">
        <f>_xlfn.STDEV.S(B64:F64)</f>
        <v>#DIV/0!</v>
      </c>
      <c r="K64" s="21"/>
      <c r="L64" s="21"/>
      <c r="M64" s="21"/>
      <c r="N64" s="21"/>
      <c r="O64" s="21"/>
    </row>
    <row r="65" spans="1:15">
      <c r="A65" s="19" t="s">
        <v>28</v>
      </c>
      <c r="B65" s="18"/>
      <c r="C65" s="18"/>
      <c r="D65" s="18"/>
      <c r="E65" s="18"/>
      <c r="F65" s="18"/>
      <c r="G65" s="19"/>
      <c r="H65" s="19"/>
      <c r="I65" s="19"/>
      <c r="J65" s="19"/>
      <c r="K65" s="18"/>
      <c r="L65" s="18"/>
      <c r="M65" s="18"/>
      <c r="N65" s="18"/>
      <c r="O65" s="18"/>
    </row>
    <row r="66" spans="1:15">
      <c r="A66" s="7" t="s">
        <v>25</v>
      </c>
      <c r="B66" s="8"/>
      <c r="C66" s="8"/>
      <c r="D66" s="8"/>
      <c r="E66" s="8"/>
      <c r="F66" s="8"/>
      <c r="G66" s="20">
        <f>MIN(B66:F66)</f>
        <v>0</v>
      </c>
      <c r="H66" s="20">
        <f>MAX(B66:F66)</f>
        <v>0</v>
      </c>
      <c r="I66" s="20" t="e">
        <f>AVERAGE(B66:F66)</f>
        <v>#DIV/0!</v>
      </c>
      <c r="J66" s="20" t="e">
        <f>_xlfn.STDEV.S(B66:F66)</f>
        <v>#DIV/0!</v>
      </c>
      <c r="K66" s="21"/>
      <c r="L66" s="21"/>
      <c r="M66" s="21"/>
      <c r="N66" s="21"/>
      <c r="O66" s="21"/>
    </row>
    <row r="67" spans="1:15">
      <c r="A67" s="7" t="s">
        <v>26</v>
      </c>
      <c r="B67" s="8"/>
      <c r="C67" s="8"/>
      <c r="D67" s="8"/>
      <c r="E67" s="8"/>
      <c r="F67" s="8"/>
      <c r="G67" s="20">
        <f>MIN(B67:F67)</f>
        <v>0</v>
      </c>
      <c r="H67" s="20">
        <f>MAX(B67:F67)</f>
        <v>0</v>
      </c>
      <c r="I67" s="20" t="e">
        <f>AVERAGE(B67:F67)</f>
        <v>#DIV/0!</v>
      </c>
      <c r="J67" s="20" t="e">
        <f>_xlfn.STDEV.S(B67:F67)</f>
        <v>#DIV/0!</v>
      </c>
      <c r="K67" s="21"/>
      <c r="L67" s="21"/>
      <c r="M67" s="21"/>
      <c r="N67" s="21"/>
      <c r="O67" s="2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8E5C-C9DE-4A97-A194-323BC3F182AF}">
  <dimension ref="A1:U95"/>
  <sheetViews>
    <sheetView tabSelected="1" workbookViewId="0">
      <selection activeCell="K32" sqref="K32:O32"/>
    </sheetView>
  </sheetViews>
  <sheetFormatPr defaultRowHeight="15"/>
  <cols>
    <col min="1" max="1" width="20.7109375" customWidth="1"/>
    <col min="2" max="9" width="10.7109375" customWidth="1"/>
    <col min="10" max="10" width="19.85546875" customWidth="1"/>
    <col min="11" max="11" width="17.7109375" customWidth="1"/>
    <col min="12" max="15" width="15.7109375" customWidth="1"/>
    <col min="16" max="17" width="10.7109375" customWidth="1"/>
  </cols>
  <sheetData>
    <row r="1" spans="1:21">
      <c r="A1" t="s">
        <v>0</v>
      </c>
    </row>
    <row r="2" spans="1:21">
      <c r="A2" s="2" t="s">
        <v>1</v>
      </c>
      <c r="B2" s="1"/>
      <c r="L2" s="2"/>
    </row>
    <row r="3" spans="1:21" ht="15.75">
      <c r="K3" s="26"/>
      <c r="L3" s="26"/>
      <c r="M3" s="27" t="s">
        <v>7</v>
      </c>
      <c r="N3" s="26"/>
      <c r="O3" s="26"/>
      <c r="P3" t="s">
        <v>42</v>
      </c>
    </row>
    <row r="4" spans="1:21" ht="18.7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11" t="s">
        <v>43</v>
      </c>
      <c r="Q4" s="10"/>
      <c r="R4" s="11"/>
      <c r="S4" s="11"/>
      <c r="T4" s="11"/>
      <c r="U4" s="11"/>
    </row>
    <row r="5" spans="1:21">
      <c r="A5" s="19" t="s">
        <v>24</v>
      </c>
      <c r="B5" s="18"/>
      <c r="C5" s="18"/>
      <c r="D5" s="18"/>
      <c r="E5" s="18"/>
      <c r="F5" s="18"/>
      <c r="G5" s="19"/>
      <c r="H5" s="19"/>
      <c r="I5" s="19"/>
      <c r="J5" s="19"/>
      <c r="K5" s="18"/>
      <c r="L5" s="18"/>
      <c r="M5" s="18"/>
      <c r="N5" s="18"/>
      <c r="O5" s="18"/>
      <c r="P5" s="16"/>
      <c r="Q5" s="22"/>
      <c r="R5" s="16"/>
      <c r="S5" s="16"/>
      <c r="T5" s="16"/>
      <c r="U5" s="16"/>
    </row>
    <row r="6" spans="1:21">
      <c r="A6" s="7" t="s">
        <v>25</v>
      </c>
      <c r="B6" s="8">
        <v>389.096</v>
      </c>
      <c r="C6" s="8">
        <v>422.63900000000001</v>
      </c>
      <c r="D6" s="8">
        <v>425.82400000000001</v>
      </c>
      <c r="E6" s="8">
        <v>393.09300000000002</v>
      </c>
      <c r="F6" s="8">
        <v>393.096</v>
      </c>
      <c r="G6" s="20">
        <f>MIN(B6:F6)</f>
        <v>389.096</v>
      </c>
      <c r="H6" s="20">
        <f>MAX(B6:F6)</f>
        <v>425.82400000000001</v>
      </c>
      <c r="I6" s="20">
        <f>AVERAGE(B6:F6)</f>
        <v>404.74959999999999</v>
      </c>
      <c r="J6" s="20">
        <f>_xlfn.STDEV.S(B6:F6)</f>
        <v>17.89468410729846</v>
      </c>
      <c r="K6" s="21"/>
      <c r="L6" s="21"/>
      <c r="M6" s="21"/>
      <c r="N6" s="21"/>
      <c r="O6" s="21"/>
      <c r="P6" s="11"/>
      <c r="Q6" s="14"/>
      <c r="R6" s="23"/>
      <c r="S6" s="23"/>
      <c r="T6" s="23"/>
      <c r="U6" s="23"/>
    </row>
    <row r="7" spans="1:21">
      <c r="A7" s="7" t="s">
        <v>26</v>
      </c>
      <c r="B7" s="8">
        <v>401.36700000000002</v>
      </c>
      <c r="C7" s="8">
        <v>436.75599999999997</v>
      </c>
      <c r="D7" s="8">
        <v>434.91500000000002</v>
      </c>
      <c r="E7" s="8">
        <v>405.935</v>
      </c>
      <c r="F7" s="8">
        <v>400.137</v>
      </c>
      <c r="G7" s="20">
        <f>MIN(B7:F7)</f>
        <v>400.137</v>
      </c>
      <c r="H7" s="20">
        <f>MAX(B7:F7)</f>
        <v>436.75599999999997</v>
      </c>
      <c r="I7" s="20">
        <f>AVERAGE(B7:F7)</f>
        <v>415.822</v>
      </c>
      <c r="J7" s="20">
        <f>_xlfn.STDEV.S(B7:F7)</f>
        <v>18.408517213507441</v>
      </c>
      <c r="K7" s="21"/>
      <c r="L7" s="21"/>
      <c r="M7" s="21"/>
      <c r="N7" s="21"/>
      <c r="O7" s="21"/>
      <c r="P7" s="11"/>
      <c r="Q7" s="14"/>
      <c r="R7" s="23"/>
      <c r="S7" s="23"/>
      <c r="T7" s="23"/>
      <c r="U7" s="23"/>
    </row>
    <row r="8" spans="1:21">
      <c r="A8" s="19" t="s">
        <v>27</v>
      </c>
      <c r="B8" s="18"/>
      <c r="C8" s="18"/>
      <c r="D8" s="18"/>
      <c r="E8" s="18"/>
      <c r="F8" s="18"/>
      <c r="G8" s="19"/>
      <c r="H8" s="19"/>
      <c r="I8" s="19"/>
      <c r="J8" s="19"/>
      <c r="K8" s="18"/>
      <c r="L8" s="18"/>
      <c r="M8" s="18"/>
      <c r="N8" s="18"/>
      <c r="O8" s="18"/>
      <c r="P8" s="16"/>
      <c r="Q8" s="22"/>
      <c r="R8" s="16"/>
      <c r="S8" s="16"/>
      <c r="T8" s="16"/>
      <c r="U8" s="16"/>
    </row>
    <row r="9" spans="1:21">
      <c r="A9" s="7" t="s">
        <v>25</v>
      </c>
      <c r="B9" s="8">
        <v>10639.821</v>
      </c>
      <c r="C9" s="8">
        <v>10406.802</v>
      </c>
      <c r="D9" s="8">
        <v>10301.058000000001</v>
      </c>
      <c r="E9" s="8">
        <v>10496.716</v>
      </c>
      <c r="F9" s="8">
        <v>10598.223</v>
      </c>
      <c r="G9" s="20">
        <f>MIN(B9:F9)</f>
        <v>10301.058000000001</v>
      </c>
      <c r="H9" s="20">
        <f>MAX(B9:F9)</f>
        <v>10639.821</v>
      </c>
      <c r="I9" s="20">
        <f>AVERAGE(B9:F9)</f>
        <v>10488.523999999999</v>
      </c>
      <c r="J9" s="20">
        <f>_xlfn.STDEV.S(B9:F9)</f>
        <v>138.57646635882992</v>
      </c>
      <c r="K9" s="21"/>
      <c r="L9" s="21"/>
      <c r="M9" s="21"/>
      <c r="N9" s="21"/>
      <c r="O9" s="21"/>
      <c r="P9" s="11"/>
      <c r="Q9" s="14"/>
      <c r="R9" s="23"/>
      <c r="S9" s="23"/>
      <c r="T9" s="23"/>
      <c r="U9" s="23"/>
    </row>
    <row r="10" spans="1:21">
      <c r="A10" s="7" t="s">
        <v>26</v>
      </c>
      <c r="B10" s="8">
        <v>10575.821</v>
      </c>
      <c r="C10" s="8">
        <v>10375.06</v>
      </c>
      <c r="D10" s="8">
        <v>10233.605</v>
      </c>
      <c r="E10" s="8">
        <v>10344.206</v>
      </c>
      <c r="F10" s="8">
        <v>10435.493</v>
      </c>
      <c r="G10" s="20">
        <f>MIN(B10:F10)</f>
        <v>10233.605</v>
      </c>
      <c r="H10" s="20">
        <f>MAX(B10:F10)</f>
        <v>10575.821</v>
      </c>
      <c r="I10" s="20">
        <f>AVERAGE(B10:F10)</f>
        <v>10392.837000000001</v>
      </c>
      <c r="J10" s="20">
        <f>_xlfn.STDEV.S(B10:F10)</f>
        <v>125.83571065679264</v>
      </c>
      <c r="K10" s="21"/>
      <c r="L10" s="21"/>
      <c r="M10" s="21"/>
      <c r="N10" s="21"/>
      <c r="O10" s="21"/>
      <c r="P10" s="11"/>
      <c r="Q10" s="14"/>
      <c r="R10" s="23"/>
      <c r="S10" s="23"/>
      <c r="T10" s="23"/>
      <c r="U10" s="23"/>
    </row>
    <row r="11" spans="1:21">
      <c r="A11" s="19" t="s">
        <v>28</v>
      </c>
      <c r="B11" s="18"/>
      <c r="C11" s="18"/>
      <c r="D11" s="18"/>
      <c r="E11" s="18"/>
      <c r="F11" s="18"/>
      <c r="G11" s="19"/>
      <c r="H11" s="19"/>
      <c r="I11" s="19"/>
      <c r="J11" s="19"/>
      <c r="K11" s="18"/>
      <c r="L11" s="18"/>
      <c r="M11" s="18"/>
      <c r="N11" s="18"/>
      <c r="O11" s="18"/>
      <c r="P11" s="16"/>
      <c r="Q11" s="22"/>
      <c r="R11" s="16"/>
      <c r="S11" s="16"/>
      <c r="T11" s="16"/>
      <c r="U11" s="16"/>
    </row>
    <row r="12" spans="1:21">
      <c r="A12" s="7" t="s">
        <v>25</v>
      </c>
      <c r="B12" s="8">
        <v>24894.142</v>
      </c>
      <c r="C12" s="8">
        <v>24431.991999999998</v>
      </c>
      <c r="D12" s="8">
        <v>22862.920999999998</v>
      </c>
      <c r="E12" s="8">
        <v>21226.121999999999</v>
      </c>
      <c r="F12" s="8">
        <v>24104.276999999998</v>
      </c>
      <c r="G12" s="20">
        <f>MIN(B12:F12)</f>
        <v>21226.121999999999</v>
      </c>
      <c r="H12" s="20">
        <f>MAX(B12:F12)</f>
        <v>24894.142</v>
      </c>
      <c r="I12" s="20">
        <f>AVERAGE(B12:F12)</f>
        <v>23503.890800000001</v>
      </c>
      <c r="J12" s="20">
        <f>_xlfn.STDEV.S(B12:F12)</f>
        <v>1479.333195772575</v>
      </c>
      <c r="K12" s="21"/>
      <c r="L12" s="21"/>
      <c r="M12" s="21"/>
      <c r="N12" s="21"/>
      <c r="O12" s="21"/>
      <c r="P12" s="11"/>
      <c r="Q12" s="14"/>
      <c r="R12" s="23"/>
      <c r="S12" s="23"/>
      <c r="T12" s="23"/>
      <c r="U12" s="23"/>
    </row>
    <row r="13" spans="1:21">
      <c r="A13" s="7" t="s">
        <v>26</v>
      </c>
      <c r="B13" s="8">
        <v>24686.981</v>
      </c>
      <c r="C13" s="8">
        <v>24688.16</v>
      </c>
      <c r="D13" s="8">
        <v>24935.066999999999</v>
      </c>
      <c r="E13" s="8">
        <v>21319.471000000001</v>
      </c>
      <c r="F13" s="8">
        <v>20893.964</v>
      </c>
      <c r="G13" s="20">
        <f>MIN(B13:F13)</f>
        <v>20893.964</v>
      </c>
      <c r="H13" s="20">
        <f>MAX(B13:F13)</f>
        <v>24935.066999999999</v>
      </c>
      <c r="I13" s="20">
        <f>AVERAGE(B13:F13)</f>
        <v>23304.728600000002</v>
      </c>
      <c r="J13" s="20">
        <f>_xlfn.STDEV.S(B13:F13)</f>
        <v>2014.6675364248808</v>
      </c>
      <c r="K13" s="21"/>
      <c r="L13" s="21"/>
      <c r="M13" s="21"/>
      <c r="N13" s="21"/>
      <c r="O13" s="21"/>
      <c r="P13" s="11"/>
      <c r="Q13" s="14"/>
      <c r="R13" s="23"/>
      <c r="S13" s="23"/>
      <c r="T13" s="23"/>
      <c r="U13" s="23"/>
    </row>
    <row r="16" spans="1:21">
      <c r="A16" s="93" t="s">
        <v>44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8"/>
    </row>
    <row r="17" spans="1:15">
      <c r="A17" s="94" t="s">
        <v>45</v>
      </c>
      <c r="B17" s="69"/>
      <c r="C17" s="69"/>
      <c r="D17" s="70" t="s">
        <v>46</v>
      </c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1"/>
    </row>
    <row r="18" spans="1:15" ht="15.75" customHeight="1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95" t="s">
        <v>47</v>
      </c>
      <c r="L18" s="96"/>
      <c r="M18" s="96"/>
      <c r="N18" s="96"/>
      <c r="O18" s="97"/>
    </row>
    <row r="19" spans="1:15">
      <c r="A19" s="74" t="s">
        <v>30</v>
      </c>
      <c r="B19" s="75" t="s">
        <v>9</v>
      </c>
      <c r="C19" s="75" t="s">
        <v>10</v>
      </c>
      <c r="D19" s="75" t="s">
        <v>11</v>
      </c>
      <c r="E19" s="75" t="s">
        <v>12</v>
      </c>
      <c r="F19" s="75" t="s">
        <v>13</v>
      </c>
      <c r="G19" s="75" t="s">
        <v>14</v>
      </c>
      <c r="H19" s="75" t="s">
        <v>15</v>
      </c>
      <c r="I19" s="75" t="s">
        <v>16</v>
      </c>
      <c r="J19" s="75" t="s">
        <v>17</v>
      </c>
      <c r="K19" s="75" t="s">
        <v>18</v>
      </c>
      <c r="L19" s="75" t="s">
        <v>19</v>
      </c>
      <c r="M19" s="75" t="s">
        <v>20</v>
      </c>
      <c r="N19" s="75" t="s">
        <v>21</v>
      </c>
      <c r="O19" s="76" t="s">
        <v>22</v>
      </c>
    </row>
    <row r="20" spans="1:15">
      <c r="A20" s="77" t="s">
        <v>48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</row>
    <row r="21" spans="1:15">
      <c r="A21" s="78" t="s">
        <v>25</v>
      </c>
      <c r="B21" s="59">
        <v>193.53</v>
      </c>
      <c r="C21" s="59">
        <v>192.02</v>
      </c>
      <c r="D21" s="59">
        <v>191.99</v>
      </c>
      <c r="E21" s="59">
        <v>192.08</v>
      </c>
      <c r="F21" s="59">
        <v>193.08</v>
      </c>
      <c r="G21" s="83">
        <v>191.99</v>
      </c>
      <c r="H21" s="83">
        <v>193.53</v>
      </c>
      <c r="I21" s="83">
        <v>192.54</v>
      </c>
      <c r="J21" s="83">
        <v>0.71699999999999997</v>
      </c>
      <c r="K21" s="84">
        <v>25177</v>
      </c>
      <c r="L21" s="59">
        <v>0</v>
      </c>
      <c r="M21" s="84">
        <v>5350</v>
      </c>
      <c r="N21" s="59">
        <v>1</v>
      </c>
      <c r="O21" s="60">
        <v>329</v>
      </c>
    </row>
    <row r="22" spans="1:15">
      <c r="A22" s="78" t="s">
        <v>26</v>
      </c>
      <c r="B22" s="59">
        <v>273.88</v>
      </c>
      <c r="C22" s="59">
        <v>273.66000000000003</v>
      </c>
      <c r="D22" s="59">
        <v>272.91000000000003</v>
      </c>
      <c r="E22" s="59">
        <v>273.3</v>
      </c>
      <c r="F22" s="59">
        <v>276.60000000000002</v>
      </c>
      <c r="G22" s="83">
        <v>272.91000000000003</v>
      </c>
      <c r="H22" s="83">
        <v>276.60000000000002</v>
      </c>
      <c r="I22" s="83">
        <v>274.07</v>
      </c>
      <c r="J22" s="83">
        <v>1.4615</v>
      </c>
      <c r="K22" s="84">
        <v>28567</v>
      </c>
      <c r="L22" s="59">
        <v>0</v>
      </c>
      <c r="M22" s="59">
        <v>226</v>
      </c>
      <c r="N22" s="59">
        <v>1</v>
      </c>
      <c r="O22" s="60">
        <v>386</v>
      </c>
    </row>
    <row r="23" spans="1:15">
      <c r="A23" s="77" t="s">
        <v>49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3"/>
    </row>
    <row r="24" spans="1:15">
      <c r="A24" s="78" t="s">
        <v>25</v>
      </c>
      <c r="B24" s="59">
        <v>7355.26</v>
      </c>
      <c r="C24" s="59">
        <v>7354.47</v>
      </c>
      <c r="D24" s="59">
        <v>7321.64</v>
      </c>
      <c r="E24" s="59">
        <v>7330.34</v>
      </c>
      <c r="F24" s="59">
        <v>7311.98</v>
      </c>
      <c r="G24" s="83">
        <v>7311.98</v>
      </c>
      <c r="H24" s="83">
        <v>7355.26</v>
      </c>
      <c r="I24" s="83">
        <v>7334.7380000000003</v>
      </c>
      <c r="J24" s="83">
        <v>19.4893</v>
      </c>
      <c r="K24" s="84">
        <v>25175</v>
      </c>
      <c r="L24" s="59">
        <v>0.4</v>
      </c>
      <c r="M24" s="84">
        <v>5349</v>
      </c>
      <c r="N24" s="59">
        <v>2</v>
      </c>
      <c r="O24" s="85">
        <v>16631</v>
      </c>
    </row>
    <row r="25" spans="1:15">
      <c r="A25" s="78" t="s">
        <v>26</v>
      </c>
      <c r="B25" s="59">
        <v>10421.719999999999</v>
      </c>
      <c r="C25" s="59">
        <v>10431.17</v>
      </c>
      <c r="D25" s="59">
        <v>10419.040000000001</v>
      </c>
      <c r="E25" s="59">
        <v>10392.61</v>
      </c>
      <c r="F25" s="59">
        <v>10371.27</v>
      </c>
      <c r="G25" s="83">
        <v>10371.27</v>
      </c>
      <c r="H25" s="83">
        <v>10431.17</v>
      </c>
      <c r="I25" s="83">
        <v>10407.162</v>
      </c>
      <c r="J25" s="83">
        <v>24.644500000000001</v>
      </c>
      <c r="K25" s="84">
        <v>28541</v>
      </c>
      <c r="L25" s="59">
        <v>0.2</v>
      </c>
      <c r="M25" s="59">
        <v>225</v>
      </c>
      <c r="N25" s="59">
        <v>1</v>
      </c>
      <c r="O25" s="85">
        <v>22330</v>
      </c>
    </row>
    <row r="26" spans="1:15">
      <c r="A26" s="77" t="s">
        <v>50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3"/>
    </row>
    <row r="27" spans="1:15">
      <c r="A27" s="78" t="s">
        <v>25</v>
      </c>
      <c r="B27" s="59">
        <v>22722.47</v>
      </c>
      <c r="C27" s="59">
        <v>22517.15</v>
      </c>
      <c r="D27" s="59">
        <v>22455.46</v>
      </c>
      <c r="E27" s="59">
        <v>22814.78</v>
      </c>
      <c r="F27" s="59">
        <v>23119.599999999999</v>
      </c>
      <c r="G27" s="83">
        <v>22455.46</v>
      </c>
      <c r="H27" s="83">
        <v>23119.599999999999</v>
      </c>
      <c r="I27" s="83">
        <v>22725.892</v>
      </c>
      <c r="J27" s="83">
        <v>264.3981</v>
      </c>
      <c r="K27" s="84">
        <v>25130</v>
      </c>
      <c r="L27" s="59">
        <v>0.4</v>
      </c>
      <c r="M27" s="84">
        <v>5349</v>
      </c>
      <c r="N27" s="59">
        <v>1</v>
      </c>
      <c r="O27" s="85">
        <v>52998</v>
      </c>
    </row>
    <row r="28" spans="1:15">
      <c r="A28" s="79" t="s">
        <v>26</v>
      </c>
      <c r="B28" s="65">
        <v>32429.17</v>
      </c>
      <c r="C28" s="65">
        <v>31866.32</v>
      </c>
      <c r="D28" s="65">
        <v>31864.65</v>
      </c>
      <c r="E28" s="65">
        <v>33018.14</v>
      </c>
      <c r="F28" s="65">
        <v>33245.120000000003</v>
      </c>
      <c r="G28" s="87">
        <v>31864.65</v>
      </c>
      <c r="H28" s="87">
        <v>33245.120000000003</v>
      </c>
      <c r="I28" s="87">
        <v>32484.68</v>
      </c>
      <c r="J28" s="87">
        <v>638.89279999999997</v>
      </c>
      <c r="K28" s="88">
        <v>28590</v>
      </c>
      <c r="L28" s="65">
        <v>0.2</v>
      </c>
      <c r="M28" s="65">
        <v>226</v>
      </c>
      <c r="N28" s="65">
        <v>1</v>
      </c>
      <c r="O28" s="89">
        <v>75657</v>
      </c>
    </row>
    <row r="30" spans="1:15">
      <c r="A30" s="93" t="s">
        <v>44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8"/>
    </row>
    <row r="31" spans="1:15">
      <c r="A31" s="94" t="s">
        <v>51</v>
      </c>
      <c r="B31" s="69"/>
      <c r="C31" s="69"/>
      <c r="D31" s="70" t="s">
        <v>52</v>
      </c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71"/>
    </row>
    <row r="32" spans="1:15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98" t="s">
        <v>47</v>
      </c>
      <c r="L32" s="99"/>
      <c r="M32" s="99"/>
      <c r="N32" s="99"/>
      <c r="O32" s="100"/>
    </row>
    <row r="33" spans="1:15">
      <c r="A33" s="74" t="s">
        <v>30</v>
      </c>
      <c r="B33" s="75" t="s">
        <v>9</v>
      </c>
      <c r="C33" s="75" t="s">
        <v>10</v>
      </c>
      <c r="D33" s="75" t="s">
        <v>11</v>
      </c>
      <c r="E33" s="75" t="s">
        <v>12</v>
      </c>
      <c r="F33" s="75" t="s">
        <v>13</v>
      </c>
      <c r="G33" s="75" t="s">
        <v>14</v>
      </c>
      <c r="H33" s="75" t="s">
        <v>15</v>
      </c>
      <c r="I33" s="75" t="s">
        <v>16</v>
      </c>
      <c r="J33" s="75" t="s">
        <v>17</v>
      </c>
      <c r="K33" s="75" t="s">
        <v>18</v>
      </c>
      <c r="L33" s="75" t="s">
        <v>19</v>
      </c>
      <c r="M33" s="75" t="s">
        <v>20</v>
      </c>
      <c r="N33" s="75" t="s">
        <v>21</v>
      </c>
      <c r="O33" s="76" t="s">
        <v>22</v>
      </c>
    </row>
    <row r="34" spans="1:15">
      <c r="A34" s="77" t="s">
        <v>48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3"/>
    </row>
    <row r="35" spans="1:15">
      <c r="A35" s="78" t="s">
        <v>25</v>
      </c>
      <c r="B35" s="59">
        <v>187.25</v>
      </c>
      <c r="C35" s="59">
        <v>186.02</v>
      </c>
      <c r="D35" s="59">
        <v>187.12</v>
      </c>
      <c r="E35" s="59">
        <v>185.93</v>
      </c>
      <c r="F35" s="59">
        <v>187.21</v>
      </c>
      <c r="G35" s="83">
        <v>185.93</v>
      </c>
      <c r="H35" s="83">
        <v>187.25</v>
      </c>
      <c r="I35" s="83">
        <v>186.70599999999999</v>
      </c>
      <c r="J35" s="83">
        <v>0.66969999999999996</v>
      </c>
      <c r="K35" s="84">
        <v>24726</v>
      </c>
      <c r="L35" s="59">
        <v>1.6</v>
      </c>
      <c r="M35" s="84">
        <v>1718</v>
      </c>
      <c r="N35" s="59">
        <v>0</v>
      </c>
      <c r="O35" s="85">
        <v>24244</v>
      </c>
    </row>
    <row r="36" spans="1:15">
      <c r="A36" s="78" t="s">
        <v>26</v>
      </c>
      <c r="B36" s="59">
        <v>221.88</v>
      </c>
      <c r="C36" s="59">
        <v>214.64</v>
      </c>
      <c r="D36" s="59">
        <v>214.13</v>
      </c>
      <c r="E36" s="59">
        <v>214.29</v>
      </c>
      <c r="F36" s="59">
        <v>214.12</v>
      </c>
      <c r="G36" s="83">
        <v>214.12</v>
      </c>
      <c r="H36" s="83">
        <v>221.88</v>
      </c>
      <c r="I36" s="83">
        <v>215.81200000000001</v>
      </c>
      <c r="J36" s="83">
        <v>3.3986000000000001</v>
      </c>
      <c r="K36" s="84">
        <v>23920</v>
      </c>
      <c r="L36" s="59">
        <v>2.6</v>
      </c>
      <c r="M36" s="84">
        <v>2675</v>
      </c>
      <c r="N36" s="59">
        <v>0</v>
      </c>
      <c r="O36" s="85">
        <v>23801</v>
      </c>
    </row>
    <row r="37" spans="1:15">
      <c r="A37" s="77" t="s">
        <v>49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3"/>
    </row>
    <row r="38" spans="1:15">
      <c r="A38" s="78" t="s">
        <v>25</v>
      </c>
      <c r="B38" s="59">
        <v>7076.28</v>
      </c>
      <c r="C38" s="59">
        <v>7063.84</v>
      </c>
      <c r="D38" s="59">
        <v>7118.62</v>
      </c>
      <c r="E38" s="59">
        <v>7072.87</v>
      </c>
      <c r="F38" s="59">
        <v>7086.68</v>
      </c>
      <c r="G38" s="83">
        <v>7063.84</v>
      </c>
      <c r="H38" s="83">
        <v>7118.62</v>
      </c>
      <c r="I38" s="83">
        <v>7083.6580000000004</v>
      </c>
      <c r="J38" s="83">
        <v>21.184000000000001</v>
      </c>
      <c r="K38" s="84">
        <v>24726</v>
      </c>
      <c r="L38" s="59">
        <v>3</v>
      </c>
      <c r="M38" s="84">
        <v>1716</v>
      </c>
      <c r="N38" s="59">
        <v>4</v>
      </c>
      <c r="O38" s="85">
        <v>698327</v>
      </c>
    </row>
    <row r="39" spans="1:15">
      <c r="A39" s="78" t="s">
        <v>26</v>
      </c>
      <c r="B39" s="59">
        <v>8157.48</v>
      </c>
      <c r="C39" s="59">
        <v>8229.19</v>
      </c>
      <c r="D39" s="59">
        <v>8170.52</v>
      </c>
      <c r="E39" s="59">
        <v>8183.3</v>
      </c>
      <c r="F39" s="59">
        <v>8219.5</v>
      </c>
      <c r="G39" s="83">
        <v>8157.48</v>
      </c>
      <c r="H39" s="83">
        <v>8229.19</v>
      </c>
      <c r="I39" s="83">
        <v>8191.9979999999996</v>
      </c>
      <c r="J39" s="83">
        <v>31.096900000000002</v>
      </c>
      <c r="K39" s="84">
        <v>23920</v>
      </c>
      <c r="L39" s="59">
        <v>5</v>
      </c>
      <c r="M39" s="84">
        <v>2673</v>
      </c>
      <c r="N39" s="59">
        <v>6</v>
      </c>
      <c r="O39" s="85">
        <v>799412</v>
      </c>
    </row>
    <row r="40" spans="1:15">
      <c r="A40" s="77" t="s">
        <v>50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3"/>
    </row>
    <row r="41" spans="1:15">
      <c r="A41" s="78" t="s">
        <v>25</v>
      </c>
      <c r="B41" s="59">
        <v>21738.68</v>
      </c>
      <c r="C41" s="59">
        <v>21750.92</v>
      </c>
      <c r="D41" s="59">
        <v>21793.57</v>
      </c>
      <c r="E41" s="59">
        <v>21743.65</v>
      </c>
      <c r="F41" s="59">
        <v>21753.21</v>
      </c>
      <c r="G41" s="83">
        <v>21738.68</v>
      </c>
      <c r="H41" s="83">
        <v>21793.57</v>
      </c>
      <c r="I41" s="83">
        <v>21756.006000000001</v>
      </c>
      <c r="J41" s="83">
        <v>21.7807</v>
      </c>
      <c r="K41" s="84">
        <v>24723</v>
      </c>
      <c r="L41" s="59">
        <v>3</v>
      </c>
      <c r="M41" s="84">
        <v>1720</v>
      </c>
      <c r="N41" s="59">
        <v>2</v>
      </c>
      <c r="O41" s="85">
        <v>2416101</v>
      </c>
    </row>
    <row r="42" spans="1:15">
      <c r="A42" s="79" t="s">
        <v>26</v>
      </c>
      <c r="B42" s="65">
        <v>25271.46</v>
      </c>
      <c r="C42" s="65">
        <v>25569.95</v>
      </c>
      <c r="D42" s="65">
        <v>25200.7</v>
      </c>
      <c r="E42" s="65">
        <v>25234.93</v>
      </c>
      <c r="F42" s="65">
        <v>25542.31</v>
      </c>
      <c r="G42" s="87">
        <v>25200.7</v>
      </c>
      <c r="H42" s="87">
        <v>25569.95</v>
      </c>
      <c r="I42" s="87">
        <v>25363.87</v>
      </c>
      <c r="J42" s="87">
        <v>177.55240000000001</v>
      </c>
      <c r="K42" s="88">
        <v>23920</v>
      </c>
      <c r="L42" s="65">
        <v>4.8</v>
      </c>
      <c r="M42" s="88">
        <v>2686</v>
      </c>
      <c r="N42" s="65">
        <v>5</v>
      </c>
      <c r="O42" s="89">
        <v>2996734</v>
      </c>
    </row>
    <row r="43" spans="1:15">
      <c r="A43" s="2"/>
    </row>
    <row r="44" spans="1:15">
      <c r="A44" s="2" t="s">
        <v>29</v>
      </c>
    </row>
    <row r="45" spans="1:15" ht="15.75">
      <c r="K45" s="26"/>
      <c r="L45" s="26"/>
      <c r="M45" s="27" t="s">
        <v>7</v>
      </c>
      <c r="N45" s="26"/>
      <c r="O45" s="26"/>
    </row>
    <row r="46" spans="1:15" ht="18.75">
      <c r="A46" s="3" t="s">
        <v>31</v>
      </c>
      <c r="B46" s="4" t="s">
        <v>9</v>
      </c>
      <c r="C46" s="4" t="s">
        <v>10</v>
      </c>
      <c r="D46" s="4" t="s">
        <v>11</v>
      </c>
      <c r="E46" s="4" t="s">
        <v>12</v>
      </c>
      <c r="F46" s="4" t="s">
        <v>13</v>
      </c>
      <c r="G46" s="4" t="s">
        <v>14</v>
      </c>
      <c r="H46" s="4" t="s">
        <v>15</v>
      </c>
      <c r="I46" s="4" t="s">
        <v>16</v>
      </c>
      <c r="J46" s="4" t="s">
        <v>17</v>
      </c>
      <c r="K46" s="4" t="s">
        <v>18</v>
      </c>
      <c r="L46" s="4" t="s">
        <v>19</v>
      </c>
      <c r="M46" s="4" t="s">
        <v>20</v>
      </c>
      <c r="N46" s="4" t="s">
        <v>21</v>
      </c>
      <c r="O46" s="4" t="s">
        <v>22</v>
      </c>
    </row>
    <row r="47" spans="1:15">
      <c r="A47" s="19" t="s">
        <v>53</v>
      </c>
      <c r="B47" s="18"/>
      <c r="C47" s="18"/>
      <c r="D47" s="18"/>
      <c r="E47" s="18"/>
      <c r="F47" s="18"/>
      <c r="G47" s="19"/>
      <c r="H47" s="19"/>
      <c r="I47" s="19"/>
      <c r="J47" s="19"/>
      <c r="K47" s="18"/>
      <c r="L47" s="18"/>
      <c r="M47" s="18"/>
      <c r="N47" s="18"/>
      <c r="O47" s="18"/>
    </row>
    <row r="48" spans="1:15">
      <c r="A48" s="7" t="s">
        <v>25</v>
      </c>
      <c r="B48" s="8"/>
      <c r="C48" s="8"/>
      <c r="D48" s="8"/>
      <c r="E48" s="8"/>
      <c r="F48" s="8"/>
      <c r="G48" s="20">
        <f>MIN(B48:F48)</f>
        <v>0</v>
      </c>
      <c r="H48" s="20">
        <f>MAX(B48:F48)</f>
        <v>0</v>
      </c>
      <c r="I48" s="20" t="e">
        <f>AVERAGE(B48:F48)</f>
        <v>#DIV/0!</v>
      </c>
      <c r="J48" s="20" t="e">
        <f>_xlfn.STDEV.S(B48:F48)</f>
        <v>#DIV/0!</v>
      </c>
      <c r="K48" s="21"/>
      <c r="L48" s="21"/>
      <c r="M48" s="21"/>
      <c r="N48" s="21"/>
      <c r="O48" s="21"/>
    </row>
    <row r="49" spans="1:15">
      <c r="A49" s="7" t="s">
        <v>26</v>
      </c>
      <c r="B49" s="8"/>
      <c r="C49" s="8"/>
      <c r="D49" s="8"/>
      <c r="E49" s="8"/>
      <c r="F49" s="8"/>
      <c r="G49" s="20">
        <f>MIN(B49:F49)</f>
        <v>0</v>
      </c>
      <c r="H49" s="20">
        <f>MAX(B49:F49)</f>
        <v>0</v>
      </c>
      <c r="I49" s="20" t="e">
        <f>AVERAGE(B49:F49)</f>
        <v>#DIV/0!</v>
      </c>
      <c r="J49" s="20" t="e">
        <f>_xlfn.STDEV.S(B49:F49)</f>
        <v>#DIV/0!</v>
      </c>
      <c r="K49" s="21"/>
      <c r="L49" s="21"/>
      <c r="M49" s="21"/>
      <c r="N49" s="21"/>
      <c r="O49" s="21"/>
    </row>
    <row r="50" spans="1:15">
      <c r="A50" s="19" t="s">
        <v>27</v>
      </c>
      <c r="B50" s="18"/>
      <c r="C50" s="18"/>
      <c r="D50" s="18"/>
      <c r="E50" s="18"/>
      <c r="F50" s="18"/>
      <c r="G50" s="19"/>
      <c r="H50" s="19"/>
      <c r="I50" s="19"/>
      <c r="J50" s="19"/>
      <c r="K50" s="18"/>
      <c r="L50" s="18"/>
      <c r="M50" s="18"/>
      <c r="N50" s="18"/>
      <c r="O50" s="18"/>
    </row>
    <row r="51" spans="1:15">
      <c r="A51" s="7" t="s">
        <v>25</v>
      </c>
      <c r="B51" s="8"/>
      <c r="C51" s="8"/>
      <c r="D51" s="8"/>
      <c r="E51" s="8"/>
      <c r="F51" s="8"/>
      <c r="G51" s="20">
        <f>MIN(B51:F51)</f>
        <v>0</v>
      </c>
      <c r="H51" s="20">
        <f>MAX(B51:F51)</f>
        <v>0</v>
      </c>
      <c r="I51" s="20" t="e">
        <f>AVERAGE(B51:F51)</f>
        <v>#DIV/0!</v>
      </c>
      <c r="J51" s="20" t="e">
        <f>_xlfn.STDEV.S(B51:F51)</f>
        <v>#DIV/0!</v>
      </c>
      <c r="K51" s="21"/>
      <c r="L51" s="21"/>
      <c r="M51" s="21"/>
      <c r="N51" s="21"/>
      <c r="O51" s="21"/>
    </row>
    <row r="52" spans="1:15">
      <c r="A52" s="7" t="s">
        <v>26</v>
      </c>
      <c r="B52" s="8"/>
      <c r="C52" s="8"/>
      <c r="D52" s="8"/>
      <c r="E52" s="8"/>
      <c r="F52" s="8"/>
      <c r="G52" s="20">
        <f>MIN(B52:F52)</f>
        <v>0</v>
      </c>
      <c r="H52" s="20">
        <f>MAX(B52:F52)</f>
        <v>0</v>
      </c>
      <c r="I52" s="20" t="e">
        <f>AVERAGE(B52:F52)</f>
        <v>#DIV/0!</v>
      </c>
      <c r="J52" s="20" t="e">
        <f>_xlfn.STDEV.S(B52:F52)</f>
        <v>#DIV/0!</v>
      </c>
      <c r="K52" s="21"/>
      <c r="L52" s="21"/>
      <c r="M52" s="21"/>
      <c r="N52" s="21"/>
      <c r="O52" s="21"/>
    </row>
    <row r="53" spans="1:15">
      <c r="A53" s="19" t="s">
        <v>28</v>
      </c>
      <c r="B53" s="18"/>
      <c r="C53" s="18"/>
      <c r="D53" s="18"/>
      <c r="E53" s="18"/>
      <c r="F53" s="18"/>
      <c r="G53" s="19"/>
      <c r="H53" s="19"/>
      <c r="I53" s="19"/>
      <c r="J53" s="19"/>
      <c r="K53" s="18"/>
      <c r="L53" s="18"/>
      <c r="M53" s="18"/>
      <c r="N53" s="18"/>
      <c r="O53" s="18"/>
    </row>
    <row r="54" spans="1:15">
      <c r="A54" s="7" t="s">
        <v>25</v>
      </c>
      <c r="B54" s="8"/>
      <c r="C54" s="8"/>
      <c r="D54" s="8"/>
      <c r="E54" s="8"/>
      <c r="F54" s="8"/>
      <c r="G54" s="20">
        <f>MIN(B54:F54)</f>
        <v>0</v>
      </c>
      <c r="H54" s="20">
        <f>MAX(B54:F54)</f>
        <v>0</v>
      </c>
      <c r="I54" s="20" t="e">
        <f>AVERAGE(B54:F54)</f>
        <v>#DIV/0!</v>
      </c>
      <c r="J54" s="20" t="e">
        <f>_xlfn.STDEV.S(B54:F54)</f>
        <v>#DIV/0!</v>
      </c>
      <c r="K54" s="21"/>
      <c r="L54" s="21"/>
      <c r="M54" s="21"/>
      <c r="N54" s="21"/>
      <c r="O54" s="21"/>
    </row>
    <row r="55" spans="1:15">
      <c r="A55" s="7" t="s">
        <v>26</v>
      </c>
      <c r="B55" s="8"/>
      <c r="C55" s="8"/>
      <c r="D55" s="8"/>
      <c r="E55" s="8"/>
      <c r="F55" s="8"/>
      <c r="G55" s="20">
        <f>MIN(B55:F55)</f>
        <v>0</v>
      </c>
      <c r="H55" s="20">
        <f>MAX(B55:F55)</f>
        <v>0</v>
      </c>
      <c r="I55" s="20" t="e">
        <f>AVERAGE(B55:F55)</f>
        <v>#DIV/0!</v>
      </c>
      <c r="J55" s="20" t="e">
        <f>_xlfn.STDEV.S(B55:F55)</f>
        <v>#DIV/0!</v>
      </c>
      <c r="K55" s="21"/>
      <c r="L55" s="21"/>
      <c r="M55" s="21"/>
      <c r="N55" s="21"/>
      <c r="O55" s="21"/>
    </row>
    <row r="57" spans="1:15">
      <c r="A57" s="2" t="s">
        <v>29</v>
      </c>
    </row>
    <row r="58" spans="1:15" ht="15.75">
      <c r="K58" s="26"/>
      <c r="L58" s="26"/>
      <c r="M58" s="27" t="s">
        <v>7</v>
      </c>
      <c r="N58" s="26"/>
      <c r="O58" s="26"/>
    </row>
    <row r="59" spans="1:15" ht="18.75">
      <c r="A59" s="3" t="s">
        <v>32</v>
      </c>
      <c r="B59" s="4" t="s">
        <v>9</v>
      </c>
      <c r="C59" s="4" t="s">
        <v>10</v>
      </c>
      <c r="D59" s="4" t="s">
        <v>11</v>
      </c>
      <c r="E59" s="4" t="s">
        <v>12</v>
      </c>
      <c r="F59" s="4" t="s">
        <v>13</v>
      </c>
      <c r="G59" s="4" t="s">
        <v>14</v>
      </c>
      <c r="H59" s="4" t="s">
        <v>15</v>
      </c>
      <c r="I59" s="4" t="s">
        <v>16</v>
      </c>
      <c r="J59" s="4" t="s">
        <v>17</v>
      </c>
      <c r="K59" s="4" t="s">
        <v>18</v>
      </c>
      <c r="L59" s="4" t="s">
        <v>19</v>
      </c>
      <c r="M59" s="4" t="s">
        <v>20</v>
      </c>
      <c r="N59" s="4" t="s">
        <v>21</v>
      </c>
      <c r="O59" s="4" t="s">
        <v>22</v>
      </c>
    </row>
    <row r="60" spans="1:15">
      <c r="A60" s="19" t="s">
        <v>24</v>
      </c>
      <c r="B60" s="18"/>
      <c r="C60" s="18"/>
      <c r="D60" s="18"/>
      <c r="E60" s="18"/>
      <c r="F60" s="18"/>
      <c r="G60" s="19"/>
      <c r="H60" s="19"/>
      <c r="I60" s="19"/>
      <c r="J60" s="19"/>
      <c r="K60" s="18"/>
      <c r="L60" s="18"/>
      <c r="M60" s="18"/>
      <c r="N60" s="18"/>
      <c r="O60" s="18"/>
    </row>
    <row r="61" spans="1:15">
      <c r="A61" s="7" t="s">
        <v>25</v>
      </c>
      <c r="B61" s="8"/>
      <c r="C61" s="8"/>
      <c r="D61" s="8"/>
      <c r="E61" s="8"/>
      <c r="F61" s="8"/>
      <c r="G61" s="20">
        <f>MIN(B61:F61)</f>
        <v>0</v>
      </c>
      <c r="H61" s="20">
        <f>MAX(B61:F61)</f>
        <v>0</v>
      </c>
      <c r="I61" s="20" t="e">
        <f>AVERAGE(B61:F61)</f>
        <v>#DIV/0!</v>
      </c>
      <c r="J61" s="20" t="e">
        <f>_xlfn.STDEV.S(B61:F61)</f>
        <v>#DIV/0!</v>
      </c>
      <c r="K61" s="21"/>
      <c r="L61" s="21"/>
      <c r="M61" s="21"/>
      <c r="N61" s="21"/>
      <c r="O61" s="21"/>
    </row>
    <row r="62" spans="1:15">
      <c r="A62" s="7" t="s">
        <v>26</v>
      </c>
      <c r="B62" s="8"/>
      <c r="C62" s="8"/>
      <c r="D62" s="8"/>
      <c r="E62" s="8"/>
      <c r="F62" s="8"/>
      <c r="G62" s="20">
        <f>MIN(B62:F62)</f>
        <v>0</v>
      </c>
      <c r="H62" s="20">
        <f>MAX(B62:F62)</f>
        <v>0</v>
      </c>
      <c r="I62" s="20" t="e">
        <f>AVERAGE(B62:F62)</f>
        <v>#DIV/0!</v>
      </c>
      <c r="J62" s="20" t="e">
        <f>_xlfn.STDEV.S(B62:F62)</f>
        <v>#DIV/0!</v>
      </c>
      <c r="K62" s="21"/>
      <c r="L62" s="21"/>
      <c r="M62" s="21"/>
      <c r="N62" s="21"/>
      <c r="O62" s="21"/>
    </row>
    <row r="63" spans="1:15">
      <c r="A63" s="19" t="s">
        <v>27</v>
      </c>
      <c r="B63" s="18"/>
      <c r="C63" s="18"/>
      <c r="D63" s="18"/>
      <c r="E63" s="18"/>
      <c r="F63" s="18"/>
      <c r="G63" s="19"/>
      <c r="H63" s="19"/>
      <c r="I63" s="19"/>
      <c r="J63" s="19"/>
      <c r="K63" s="18"/>
      <c r="L63" s="18"/>
      <c r="M63" s="18"/>
      <c r="N63" s="18"/>
      <c r="O63" s="18"/>
    </row>
    <row r="64" spans="1:15">
      <c r="A64" s="7" t="s">
        <v>25</v>
      </c>
      <c r="B64" s="8"/>
      <c r="C64" s="8"/>
      <c r="D64" s="8"/>
      <c r="E64" s="8"/>
      <c r="F64" s="8"/>
      <c r="G64" s="20">
        <f>MIN(B64:F64)</f>
        <v>0</v>
      </c>
      <c r="H64" s="20">
        <f>MAX(B64:F64)</f>
        <v>0</v>
      </c>
      <c r="I64" s="20" t="e">
        <f>AVERAGE(B64:F64)</f>
        <v>#DIV/0!</v>
      </c>
      <c r="J64" s="20" t="e">
        <f>_xlfn.STDEV.S(B64:F64)</f>
        <v>#DIV/0!</v>
      </c>
      <c r="K64" s="21"/>
      <c r="L64" s="21"/>
      <c r="M64" s="21"/>
      <c r="N64" s="21"/>
      <c r="O64" s="21"/>
    </row>
    <row r="65" spans="1:17">
      <c r="A65" s="7" t="s">
        <v>26</v>
      </c>
      <c r="B65" s="8"/>
      <c r="C65" s="8"/>
      <c r="D65" s="8"/>
      <c r="E65" s="8"/>
      <c r="F65" s="8"/>
      <c r="G65" s="20">
        <f>MIN(B65:F65)</f>
        <v>0</v>
      </c>
      <c r="H65" s="20">
        <f>MAX(B65:F65)</f>
        <v>0</v>
      </c>
      <c r="I65" s="20" t="e">
        <f>AVERAGE(B65:F65)</f>
        <v>#DIV/0!</v>
      </c>
      <c r="J65" s="20" t="e">
        <f>_xlfn.STDEV.S(B65:F65)</f>
        <v>#DIV/0!</v>
      </c>
      <c r="K65" s="21"/>
      <c r="L65" s="21"/>
      <c r="M65" s="21"/>
      <c r="N65" s="21"/>
      <c r="O65" s="21"/>
    </row>
    <row r="66" spans="1:17">
      <c r="A66" s="19" t="s">
        <v>28</v>
      </c>
      <c r="B66" s="18"/>
      <c r="C66" s="18"/>
      <c r="D66" s="18"/>
      <c r="E66" s="18"/>
      <c r="F66" s="18"/>
      <c r="G66" s="19"/>
      <c r="H66" s="19"/>
      <c r="I66" s="19"/>
      <c r="J66" s="19"/>
      <c r="K66" s="18"/>
      <c r="L66" s="18"/>
      <c r="M66" s="18"/>
      <c r="N66" s="18"/>
      <c r="O66" s="18"/>
    </row>
    <row r="67" spans="1:17">
      <c r="A67" s="7" t="s">
        <v>25</v>
      </c>
      <c r="B67" s="8"/>
      <c r="C67" s="8"/>
      <c r="D67" s="8"/>
      <c r="E67" s="8"/>
      <c r="F67" s="8"/>
      <c r="G67" s="20">
        <f>MIN(B67:F67)</f>
        <v>0</v>
      </c>
      <c r="H67" s="20">
        <f>MAX(B67:F67)</f>
        <v>0</v>
      </c>
      <c r="I67" s="20" t="e">
        <f>AVERAGE(B67:F67)</f>
        <v>#DIV/0!</v>
      </c>
      <c r="J67" s="20" t="e">
        <f>_xlfn.STDEV.S(B67:F67)</f>
        <v>#DIV/0!</v>
      </c>
      <c r="K67" s="21"/>
      <c r="L67" s="21"/>
      <c r="M67" s="21"/>
      <c r="N67" s="21"/>
      <c r="O67" s="21"/>
    </row>
    <row r="68" spans="1:17">
      <c r="A68" s="7" t="s">
        <v>26</v>
      </c>
      <c r="B68" s="8"/>
      <c r="C68" s="8"/>
      <c r="D68" s="8"/>
      <c r="E68" s="8"/>
      <c r="F68" s="8"/>
      <c r="G68" s="20">
        <f>MIN(B68:F68)</f>
        <v>0</v>
      </c>
      <c r="H68" s="20">
        <f>MAX(B68:F68)</f>
        <v>0</v>
      </c>
      <c r="I68" s="20" t="e">
        <f>AVERAGE(B68:F68)</f>
        <v>#DIV/0!</v>
      </c>
      <c r="J68" s="20" t="e">
        <f>_xlfn.STDEV.S(B68:F68)</f>
        <v>#DIV/0!</v>
      </c>
      <c r="K68" s="21"/>
      <c r="L68" s="21"/>
      <c r="M68" s="21"/>
      <c r="N68" s="21"/>
      <c r="O68" s="21"/>
    </row>
    <row r="71" spans="1:17">
      <c r="A71" s="2" t="s">
        <v>1</v>
      </c>
      <c r="B71" s="1" t="s">
        <v>33</v>
      </c>
      <c r="D71" t="s">
        <v>34</v>
      </c>
      <c r="L71" s="2"/>
    </row>
    <row r="72" spans="1:17" ht="15.75">
      <c r="D72" t="s">
        <v>35</v>
      </c>
      <c r="F72" t="s">
        <v>36</v>
      </c>
      <c r="K72" s="26"/>
      <c r="L72" s="26"/>
      <c r="M72" s="27" t="s">
        <v>7</v>
      </c>
      <c r="N72" s="26"/>
      <c r="O72" s="26"/>
    </row>
    <row r="73" spans="1:17" ht="18.75">
      <c r="A73" s="3" t="s">
        <v>8</v>
      </c>
      <c r="B73" s="4" t="s">
        <v>9</v>
      </c>
      <c r="C73" s="4" t="s">
        <v>10</v>
      </c>
      <c r="D73" s="4" t="s">
        <v>11</v>
      </c>
      <c r="E73" s="4" t="s">
        <v>12</v>
      </c>
      <c r="F73" s="4" t="s">
        <v>13</v>
      </c>
      <c r="G73" s="4" t="s">
        <v>14</v>
      </c>
      <c r="H73" s="4" t="s">
        <v>15</v>
      </c>
      <c r="I73" s="4" t="s">
        <v>16</v>
      </c>
      <c r="J73" s="4" t="s">
        <v>17</v>
      </c>
      <c r="K73" s="4" t="s">
        <v>18</v>
      </c>
      <c r="L73" s="4" t="s">
        <v>19</v>
      </c>
      <c r="M73" s="4" t="s">
        <v>20</v>
      </c>
      <c r="N73" s="4" t="s">
        <v>21</v>
      </c>
      <c r="O73" s="4" t="s">
        <v>22</v>
      </c>
    </row>
    <row r="74" spans="1:17">
      <c r="A74" s="19" t="s">
        <v>24</v>
      </c>
      <c r="B74" s="18"/>
      <c r="C74" s="18"/>
      <c r="D74" s="18"/>
      <c r="E74" s="18"/>
      <c r="F74" s="18"/>
      <c r="G74" s="19"/>
      <c r="H74" s="19"/>
      <c r="I74" s="19"/>
      <c r="J74" s="19"/>
      <c r="K74" s="18"/>
      <c r="L74" s="18"/>
      <c r="M74" s="18"/>
      <c r="N74" s="18"/>
      <c r="O74" s="18"/>
    </row>
    <row r="75" spans="1:17">
      <c r="A75" s="7" t="s">
        <v>25</v>
      </c>
      <c r="B75" s="8">
        <v>487.99</v>
      </c>
      <c r="C75" s="8">
        <v>481.79</v>
      </c>
      <c r="D75" s="8">
        <v>480.21</v>
      </c>
      <c r="E75" s="8">
        <v>477</v>
      </c>
      <c r="F75" s="8">
        <v>493.68</v>
      </c>
      <c r="G75" s="20">
        <f>MIN(B75:F75)</f>
        <v>477</v>
      </c>
      <c r="H75" s="20">
        <f>MAX(B75:F75)</f>
        <v>493.68</v>
      </c>
      <c r="I75" s="20">
        <f>AVERAGE(B75:F75)</f>
        <v>484.13400000000001</v>
      </c>
      <c r="J75" s="20">
        <f>_xlfn.STDEV.S(B75:F75)</f>
        <v>6.6667255830730028</v>
      </c>
      <c r="K75" s="21"/>
      <c r="L75" s="21"/>
      <c r="M75" s="21"/>
      <c r="N75" s="21"/>
      <c r="O75" s="21"/>
      <c r="P75" t="s">
        <v>37</v>
      </c>
      <c r="Q75">
        <v>400</v>
      </c>
    </row>
    <row r="76" spans="1:17">
      <c r="A76" s="7" t="s">
        <v>26</v>
      </c>
      <c r="B76" s="8">
        <v>524.79</v>
      </c>
      <c r="C76" s="8">
        <v>22.93</v>
      </c>
      <c r="D76" s="8">
        <v>522.89</v>
      </c>
      <c r="E76" s="8">
        <v>525.67999999999995</v>
      </c>
      <c r="F76" s="8">
        <v>521.74</v>
      </c>
      <c r="G76" s="20">
        <f>MIN(B76:F76)</f>
        <v>22.93</v>
      </c>
      <c r="H76" s="20">
        <f>MAX(B76:F76)</f>
        <v>525.67999999999995</v>
      </c>
      <c r="I76" s="20">
        <f>AVERAGE(B76:F76)</f>
        <v>423.60599999999994</v>
      </c>
      <c r="J76" s="20">
        <f>_xlfn.STDEV.S(B76:F76)</f>
        <v>223.99004158667432</v>
      </c>
      <c r="K76" s="21"/>
      <c r="L76" s="21"/>
      <c r="M76" s="21"/>
      <c r="N76" s="21"/>
      <c r="O76" s="21"/>
    </row>
    <row r="77" spans="1:17">
      <c r="A77" s="19" t="s">
        <v>27</v>
      </c>
      <c r="B77" s="18"/>
      <c r="C77" s="18"/>
      <c r="D77" s="18"/>
      <c r="E77" s="18"/>
      <c r="F77" s="18"/>
      <c r="G77" s="19"/>
      <c r="H77" s="19"/>
      <c r="I77" s="19"/>
      <c r="J77" s="19"/>
      <c r="K77" s="18"/>
      <c r="L77" s="18"/>
      <c r="M77" s="18"/>
      <c r="N77" s="18"/>
      <c r="O77" s="18"/>
    </row>
    <row r="78" spans="1:17">
      <c r="A78" s="7" t="s">
        <v>25</v>
      </c>
      <c r="B78" s="8">
        <v>6992</v>
      </c>
      <c r="C78" s="8">
        <v>6918</v>
      </c>
      <c r="D78" s="8">
        <v>6913</v>
      </c>
      <c r="E78" s="8">
        <v>6918</v>
      </c>
      <c r="F78" s="8">
        <v>7223</v>
      </c>
      <c r="G78" s="20">
        <f>MIN(B78:F78)</f>
        <v>6913</v>
      </c>
      <c r="H78" s="20">
        <f>MAX(B78:F78)</f>
        <v>7223</v>
      </c>
      <c r="I78" s="20">
        <f>AVERAGE(B78:F78)</f>
        <v>6992.8</v>
      </c>
      <c r="J78" s="20">
        <f>_xlfn.STDEV.S(B78:F78)</f>
        <v>132.80700282741117</v>
      </c>
      <c r="K78" s="21"/>
      <c r="L78" s="21"/>
      <c r="M78" s="21"/>
      <c r="N78" s="21"/>
      <c r="O78" s="21"/>
      <c r="P78" t="s">
        <v>37</v>
      </c>
      <c r="Q78">
        <v>900</v>
      </c>
    </row>
    <row r="79" spans="1:17">
      <c r="A79" s="7" t="s">
        <v>26</v>
      </c>
      <c r="B79" s="8">
        <v>6909</v>
      </c>
      <c r="C79" s="8">
        <v>7001</v>
      </c>
      <c r="D79" s="8">
        <v>6942</v>
      </c>
      <c r="E79" s="8">
        <v>7004</v>
      </c>
      <c r="F79" s="8">
        <v>6994</v>
      </c>
      <c r="G79" s="20">
        <f>MIN(B79:F79)</f>
        <v>6909</v>
      </c>
      <c r="H79" s="20">
        <f>MAX(B79:F79)</f>
        <v>7004</v>
      </c>
      <c r="I79" s="20">
        <f>AVERAGE(B79:F79)</f>
        <v>6970</v>
      </c>
      <c r="J79" s="20">
        <f>_xlfn.STDEV.S(B79:F79)</f>
        <v>42.420513905420805</v>
      </c>
      <c r="K79" s="21"/>
      <c r="L79" s="21"/>
      <c r="M79" s="21"/>
      <c r="N79" s="21"/>
      <c r="O79" s="21"/>
    </row>
    <row r="80" spans="1:17">
      <c r="A80" s="19" t="s">
        <v>28</v>
      </c>
      <c r="B80" s="18"/>
      <c r="C80" s="18"/>
      <c r="D80" s="18"/>
      <c r="E80" s="18"/>
      <c r="F80" s="18"/>
      <c r="G80" s="19"/>
      <c r="H80" s="19"/>
      <c r="I80" s="19"/>
      <c r="J80" s="19"/>
      <c r="K80" s="18"/>
      <c r="L80" s="18"/>
      <c r="M80" s="18"/>
      <c r="N80" s="18"/>
      <c r="O80" s="18"/>
    </row>
    <row r="81" spans="1:17">
      <c r="A81" s="7" t="s">
        <v>25</v>
      </c>
      <c r="B81" s="8"/>
      <c r="C81" s="8"/>
      <c r="D81" s="8"/>
      <c r="E81" s="8"/>
      <c r="F81" s="8"/>
      <c r="G81" s="20">
        <f>MIN(B81:F81)</f>
        <v>0</v>
      </c>
      <c r="H81" s="20">
        <f>MAX(B81:F81)</f>
        <v>0</v>
      </c>
      <c r="I81" s="20" t="e">
        <f>AVERAGE(B81:F81)</f>
        <v>#DIV/0!</v>
      </c>
      <c r="J81" s="20" t="e">
        <f>_xlfn.STDEV.S(B81:F81)</f>
        <v>#DIV/0!</v>
      </c>
      <c r="K81" s="21"/>
      <c r="L81" s="21"/>
      <c r="M81" s="21"/>
      <c r="N81" s="21"/>
      <c r="O81" s="21"/>
    </row>
    <row r="82" spans="1:17">
      <c r="A82" s="7" t="s">
        <v>26</v>
      </c>
      <c r="B82" s="8"/>
      <c r="C82" s="8"/>
      <c r="D82" s="8"/>
      <c r="E82" s="8"/>
      <c r="F82" s="8"/>
      <c r="G82" s="20">
        <f>MIN(B82:F82)</f>
        <v>0</v>
      </c>
      <c r="H82" s="20">
        <f>MAX(B82:F82)</f>
        <v>0</v>
      </c>
      <c r="I82" s="20" t="e">
        <f>AVERAGE(B82:F82)</f>
        <v>#DIV/0!</v>
      </c>
      <c r="J82" s="20" t="e">
        <f>_xlfn.STDEV.S(B82:F82)</f>
        <v>#DIV/0!</v>
      </c>
      <c r="K82" s="21"/>
      <c r="L82" s="21"/>
      <c r="M82" s="21"/>
      <c r="N82" s="21"/>
      <c r="O82" s="21"/>
    </row>
    <row r="84" spans="1:17">
      <c r="A84" s="2" t="s">
        <v>1</v>
      </c>
      <c r="B84" s="1" t="s">
        <v>33</v>
      </c>
      <c r="D84" t="s">
        <v>34</v>
      </c>
      <c r="L84" s="2"/>
    </row>
    <row r="85" spans="1:17" ht="15.75">
      <c r="D85" t="s">
        <v>35</v>
      </c>
      <c r="F85" t="s">
        <v>36</v>
      </c>
      <c r="K85" s="26"/>
      <c r="L85" s="26"/>
      <c r="M85" s="27" t="s">
        <v>7</v>
      </c>
      <c r="N85" s="26"/>
      <c r="O85" s="26"/>
    </row>
    <row r="86" spans="1:17" ht="18.75">
      <c r="A86" s="3" t="s">
        <v>30</v>
      </c>
      <c r="B86" s="4" t="s">
        <v>9</v>
      </c>
      <c r="C86" s="4" t="s">
        <v>10</v>
      </c>
      <c r="D86" s="4" t="s">
        <v>11</v>
      </c>
      <c r="E86" s="4" t="s">
        <v>12</v>
      </c>
      <c r="F86" s="4" t="s">
        <v>13</v>
      </c>
      <c r="G86" s="4" t="s">
        <v>14</v>
      </c>
      <c r="H86" s="4" t="s">
        <v>15</v>
      </c>
      <c r="I86" s="4" t="s">
        <v>16</v>
      </c>
      <c r="J86" s="4" t="s">
        <v>17</v>
      </c>
      <c r="K86" s="4" t="s">
        <v>18</v>
      </c>
      <c r="L86" s="4" t="s">
        <v>19</v>
      </c>
      <c r="M86" s="4" t="s">
        <v>20</v>
      </c>
      <c r="N86" s="4" t="s">
        <v>21</v>
      </c>
      <c r="O86" s="4" t="s">
        <v>22</v>
      </c>
    </row>
    <row r="87" spans="1:17">
      <c r="A87" s="19" t="s">
        <v>53</v>
      </c>
      <c r="B87" s="18"/>
      <c r="C87" s="18"/>
      <c r="D87" s="18"/>
      <c r="E87" s="18"/>
      <c r="F87" s="18"/>
      <c r="G87" s="19"/>
      <c r="H87" s="19"/>
      <c r="I87" s="19"/>
      <c r="J87" s="19"/>
      <c r="K87" s="18"/>
      <c r="L87" s="18"/>
      <c r="M87" s="18"/>
      <c r="N87" s="18"/>
      <c r="O87" s="18"/>
    </row>
    <row r="88" spans="1:17">
      <c r="A88" s="7" t="s">
        <v>25</v>
      </c>
      <c r="B88" s="8">
        <v>388.16</v>
      </c>
      <c r="C88" s="8">
        <v>384.96</v>
      </c>
      <c r="D88" s="8">
        <v>392.15</v>
      </c>
      <c r="E88" s="8">
        <v>376.66</v>
      </c>
      <c r="F88" s="8">
        <v>388.02</v>
      </c>
      <c r="G88" s="20">
        <f>MIN(B88:F88)</f>
        <v>376.66</v>
      </c>
      <c r="H88" s="20">
        <f>MAX(B88:F88)</f>
        <v>392.15</v>
      </c>
      <c r="I88" s="20">
        <f>AVERAGE(B88:F88)</f>
        <v>385.99</v>
      </c>
      <c r="J88" s="20">
        <f>_xlfn.STDEV.S(B88:F88)</f>
        <v>5.8070043912502625</v>
      </c>
      <c r="K88" s="21"/>
      <c r="L88" s="21"/>
      <c r="M88" s="21"/>
      <c r="N88" s="21"/>
      <c r="O88" s="21"/>
      <c r="P88" t="s">
        <v>37</v>
      </c>
      <c r="Q88">
        <v>400</v>
      </c>
    </row>
    <row r="89" spans="1:17">
      <c r="A89" s="7" t="s">
        <v>26</v>
      </c>
      <c r="B89" s="8">
        <v>407.2</v>
      </c>
      <c r="C89" s="8">
        <v>405.5</v>
      </c>
      <c r="D89" s="8">
        <v>406.24</v>
      </c>
      <c r="E89" s="8">
        <v>407.79</v>
      </c>
      <c r="F89" s="8">
        <v>406.87</v>
      </c>
      <c r="G89" s="20">
        <f>MIN(B89:F89)</f>
        <v>405.5</v>
      </c>
      <c r="H89" s="20">
        <f>MAX(B89:F89)</f>
        <v>407.79</v>
      </c>
      <c r="I89" s="20">
        <f>AVERAGE(B89:F89)</f>
        <v>406.71999999999997</v>
      </c>
      <c r="J89" s="20">
        <f>_xlfn.STDEV.S(B89:F89)</f>
        <v>0.8826947377208082</v>
      </c>
      <c r="K89" s="21"/>
      <c r="L89" s="21"/>
      <c r="M89" s="21"/>
      <c r="N89" s="21"/>
      <c r="O89" s="21"/>
      <c r="P89" t="s">
        <v>54</v>
      </c>
      <c r="Q89">
        <v>500</v>
      </c>
    </row>
    <row r="90" spans="1:17">
      <c r="A90" s="19" t="s">
        <v>27</v>
      </c>
      <c r="B90" s="18"/>
      <c r="C90" s="18"/>
      <c r="D90" s="18"/>
      <c r="E90" s="18"/>
      <c r="F90" s="18"/>
      <c r="G90" s="19"/>
      <c r="H90" s="19"/>
      <c r="I90" s="19"/>
      <c r="J90" s="19"/>
      <c r="K90" s="18"/>
      <c r="L90" s="18"/>
      <c r="M90" s="18"/>
      <c r="N90" s="18"/>
      <c r="O90" s="18"/>
    </row>
    <row r="91" spans="1:17">
      <c r="A91" s="7" t="s">
        <v>25</v>
      </c>
      <c r="B91" s="8"/>
      <c r="C91" s="8"/>
      <c r="D91" s="8"/>
      <c r="E91" s="8"/>
      <c r="F91" s="8"/>
      <c r="G91" s="20">
        <f>MIN(B91:F91)</f>
        <v>0</v>
      </c>
      <c r="H91" s="20">
        <f>MAX(B91:F91)</f>
        <v>0</v>
      </c>
      <c r="I91" s="20" t="e">
        <f>AVERAGE(B91:F91)</f>
        <v>#DIV/0!</v>
      </c>
      <c r="J91" s="20" t="e">
        <f>_xlfn.STDEV.S(B91:F91)</f>
        <v>#DIV/0!</v>
      </c>
      <c r="K91" s="21"/>
      <c r="L91" s="21"/>
      <c r="M91" s="21"/>
      <c r="N91" s="21"/>
      <c r="O91" s="21"/>
      <c r="P91" t="s">
        <v>37</v>
      </c>
    </row>
    <row r="92" spans="1:17">
      <c r="A92" s="7" t="s">
        <v>26</v>
      </c>
      <c r="B92" s="8"/>
      <c r="C92" s="8"/>
      <c r="D92" s="8"/>
      <c r="E92" s="8"/>
      <c r="F92" s="8"/>
      <c r="G92" s="20">
        <f>MIN(B92:F92)</f>
        <v>0</v>
      </c>
      <c r="H92" s="20">
        <f>MAX(B92:F92)</f>
        <v>0</v>
      </c>
      <c r="I92" s="20" t="e">
        <f>AVERAGE(B92:F92)</f>
        <v>#DIV/0!</v>
      </c>
      <c r="J92" s="20" t="e">
        <f>_xlfn.STDEV.S(B92:F92)</f>
        <v>#DIV/0!</v>
      </c>
      <c r="K92" s="21"/>
      <c r="L92" s="21"/>
      <c r="M92" s="21"/>
      <c r="N92" s="21"/>
      <c r="O92" s="21"/>
      <c r="P92" t="s">
        <v>54</v>
      </c>
    </row>
    <row r="93" spans="1:17">
      <c r="A93" s="19" t="s">
        <v>28</v>
      </c>
      <c r="B93" s="18"/>
      <c r="C93" s="18"/>
      <c r="D93" s="18"/>
      <c r="E93" s="18"/>
      <c r="F93" s="18"/>
      <c r="G93" s="19"/>
      <c r="H93" s="19"/>
      <c r="I93" s="19"/>
      <c r="J93" s="19"/>
      <c r="K93" s="18"/>
      <c r="L93" s="18"/>
      <c r="M93" s="18"/>
      <c r="N93" s="18"/>
      <c r="O93" s="18"/>
    </row>
    <row r="94" spans="1:17">
      <c r="A94" s="7" t="s">
        <v>25</v>
      </c>
      <c r="B94" s="8"/>
      <c r="C94" s="8"/>
      <c r="D94" s="8"/>
      <c r="E94" s="8"/>
      <c r="F94" s="8"/>
      <c r="G94" s="20">
        <f>MIN(B94:F94)</f>
        <v>0</v>
      </c>
      <c r="H94" s="20">
        <f>MAX(B94:F94)</f>
        <v>0</v>
      </c>
      <c r="I94" s="20" t="e">
        <f>AVERAGE(B94:F94)</f>
        <v>#DIV/0!</v>
      </c>
      <c r="J94" s="20" t="e">
        <f>_xlfn.STDEV.S(B94:F94)</f>
        <v>#DIV/0!</v>
      </c>
      <c r="K94" s="21"/>
      <c r="L94" s="21"/>
      <c r="M94" s="21"/>
      <c r="N94" s="21"/>
      <c r="O94" s="21"/>
      <c r="P94" t="s">
        <v>37</v>
      </c>
    </row>
    <row r="95" spans="1:17">
      <c r="A95" s="7" t="s">
        <v>26</v>
      </c>
      <c r="B95" s="8"/>
      <c r="C95" s="8"/>
      <c r="D95" s="8"/>
      <c r="E95" s="8"/>
      <c r="F95" s="8"/>
      <c r="G95" s="20">
        <f>MIN(B95:F95)</f>
        <v>0</v>
      </c>
      <c r="H95" s="20">
        <f>MAX(B95:F95)</f>
        <v>0</v>
      </c>
      <c r="I95" s="20" t="e">
        <f>AVERAGE(B95:F95)</f>
        <v>#DIV/0!</v>
      </c>
      <c r="J95" s="20" t="e">
        <f>_xlfn.STDEV.S(B95:F95)</f>
        <v>#DIV/0!</v>
      </c>
      <c r="K95" s="21"/>
      <c r="L95" s="21"/>
      <c r="M95" s="21"/>
      <c r="N95" s="21"/>
      <c r="O95" s="21"/>
      <c r="P95" t="s">
        <v>54</v>
      </c>
    </row>
  </sheetData>
  <mergeCells count="2">
    <mergeCell ref="K18:O18"/>
    <mergeCell ref="K32:O32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50B8-3AA4-43A5-BD4C-9E354CFAA83F}">
  <dimension ref="A1:U95"/>
  <sheetViews>
    <sheetView topLeftCell="J5" workbookViewId="0">
      <selection activeCell="A43" sqref="A43:A44"/>
    </sheetView>
  </sheetViews>
  <sheetFormatPr defaultRowHeight="15"/>
  <cols>
    <col min="1" max="1" width="40.85546875" customWidth="1"/>
    <col min="2" max="2" width="17.28515625" customWidth="1"/>
    <col min="3" max="9" width="10.7109375" customWidth="1"/>
    <col min="10" max="10" width="19.85546875" customWidth="1"/>
    <col min="11" max="11" width="17.7109375" customWidth="1"/>
    <col min="12" max="15" width="15.7109375" customWidth="1"/>
    <col min="16" max="17" width="10.7109375" customWidth="1"/>
  </cols>
  <sheetData>
    <row r="1" spans="1:21">
      <c r="A1" t="s">
        <v>0</v>
      </c>
    </row>
    <row r="2" spans="1:21">
      <c r="A2" s="2" t="s">
        <v>1</v>
      </c>
      <c r="B2" s="1" t="s">
        <v>55</v>
      </c>
      <c r="L2" s="2"/>
    </row>
    <row r="3" spans="1:21" ht="15.75">
      <c r="K3" s="26"/>
      <c r="L3" s="26"/>
      <c r="M3" s="27" t="s">
        <v>7</v>
      </c>
      <c r="N3" s="26"/>
      <c r="O3" s="26"/>
    </row>
    <row r="4" spans="1:21" ht="18.7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42</v>
      </c>
      <c r="Q4" s="10"/>
      <c r="R4" s="11"/>
      <c r="S4" s="11"/>
      <c r="T4" s="11"/>
      <c r="U4" s="11"/>
    </row>
    <row r="5" spans="1:21">
      <c r="A5" s="19" t="s">
        <v>24</v>
      </c>
      <c r="B5" s="18"/>
      <c r="C5" s="18"/>
      <c r="D5" s="18"/>
      <c r="E5" s="18"/>
      <c r="F5" s="18"/>
      <c r="G5" s="19"/>
      <c r="H5" s="19"/>
      <c r="I5" s="19"/>
      <c r="J5" s="19"/>
      <c r="K5" s="18"/>
      <c r="L5" s="18"/>
      <c r="M5" s="18"/>
      <c r="N5" s="18"/>
      <c r="O5" s="18"/>
      <c r="P5" s="11" t="s">
        <v>43</v>
      </c>
      <c r="Q5" s="22"/>
      <c r="R5" s="16"/>
      <c r="S5" s="16"/>
      <c r="T5" s="16"/>
      <c r="U5" s="16"/>
    </row>
    <row r="6" spans="1:21">
      <c r="A6" s="7" t="s">
        <v>25</v>
      </c>
      <c r="B6" s="8">
        <v>403.19600000000003</v>
      </c>
      <c r="C6" s="8">
        <v>377.86200000000002</v>
      </c>
      <c r="D6" s="8">
        <v>380.57100000000003</v>
      </c>
      <c r="E6" s="8">
        <v>376.80599999999998</v>
      </c>
      <c r="F6" s="8">
        <v>375.26499999999999</v>
      </c>
      <c r="G6" s="20">
        <f>MIN(B6:F6)</f>
        <v>375.26499999999999</v>
      </c>
      <c r="H6" s="20">
        <f>MAX(B6:F6)</f>
        <v>403.19600000000003</v>
      </c>
      <c r="I6" s="20">
        <f>AVERAGE(B6:F6)</f>
        <v>382.73999999999995</v>
      </c>
      <c r="J6" s="20">
        <f>_xlfn.STDEV.S(B6:F6)</f>
        <v>11.597794639499368</v>
      </c>
      <c r="K6" s="21"/>
      <c r="L6" s="21"/>
      <c r="M6" s="21"/>
      <c r="N6" s="21"/>
      <c r="O6" s="21"/>
      <c r="P6" s="11"/>
      <c r="Q6" s="14"/>
      <c r="R6" s="23"/>
      <c r="S6" s="23"/>
      <c r="T6" s="23"/>
      <c r="U6" s="23"/>
    </row>
    <row r="7" spans="1:21">
      <c r="A7" s="7" t="s">
        <v>26</v>
      </c>
      <c r="B7" s="8">
        <v>353.75400000000002</v>
      </c>
      <c r="C7" s="8">
        <v>356.053</v>
      </c>
      <c r="D7" s="8">
        <v>356.00099999999998</v>
      </c>
      <c r="E7" s="8">
        <v>355.721</v>
      </c>
      <c r="F7" s="8">
        <v>356.15199999999999</v>
      </c>
      <c r="G7" s="20">
        <f>MIN(B7:F7)</f>
        <v>353.75400000000002</v>
      </c>
      <c r="H7" s="20">
        <f>MAX(B7:F7)</f>
        <v>356.15199999999999</v>
      </c>
      <c r="I7" s="20">
        <f>AVERAGE(B7:F7)</f>
        <v>355.53620000000001</v>
      </c>
      <c r="J7" s="20">
        <f>_xlfn.STDEV.S(B7:F7)</f>
        <v>1.0090489086263228</v>
      </c>
      <c r="K7" s="21"/>
      <c r="L7" s="21"/>
      <c r="M7" s="21"/>
      <c r="N7" s="21"/>
      <c r="O7" s="21"/>
      <c r="P7" s="11"/>
      <c r="Q7" s="14"/>
      <c r="R7" s="23"/>
      <c r="S7" s="23"/>
      <c r="T7" s="23"/>
      <c r="U7" s="23"/>
    </row>
    <row r="8" spans="1:21">
      <c r="A8" s="19" t="s">
        <v>27</v>
      </c>
      <c r="B8" s="18"/>
      <c r="C8" s="18"/>
      <c r="D8" s="18"/>
      <c r="E8" s="18"/>
      <c r="F8" s="18"/>
      <c r="G8" s="19"/>
      <c r="H8" s="19"/>
      <c r="I8" s="19"/>
      <c r="J8" s="19"/>
      <c r="K8" s="18"/>
      <c r="L8" s="18"/>
      <c r="M8" s="18"/>
      <c r="N8" s="18"/>
      <c r="O8" s="18"/>
      <c r="P8" s="16"/>
      <c r="Q8" s="22"/>
      <c r="R8" s="16"/>
      <c r="S8" s="16"/>
      <c r="T8" s="16"/>
      <c r="U8" s="16"/>
    </row>
    <row r="9" spans="1:21">
      <c r="A9" s="7" t="s">
        <v>25</v>
      </c>
      <c r="B9" s="8">
        <v>10097.416999999999</v>
      </c>
      <c r="C9" s="8">
        <v>9817.8150000000005</v>
      </c>
      <c r="D9" s="8">
        <v>10408.281999999999</v>
      </c>
      <c r="E9" s="8">
        <v>9551.518</v>
      </c>
      <c r="F9" s="8">
        <v>10092.562</v>
      </c>
      <c r="G9" s="20">
        <f>MIN(B9:F9)</f>
        <v>9551.518</v>
      </c>
      <c r="H9" s="20">
        <f>MAX(B9:F9)</f>
        <v>10408.281999999999</v>
      </c>
      <c r="I9" s="20">
        <f>AVERAGE(B9:F9)</f>
        <v>9993.5187999999998</v>
      </c>
      <c r="J9" s="20">
        <f>_xlfn.STDEV.S(B9:F9)</f>
        <v>323.60061651625415</v>
      </c>
      <c r="K9" s="21"/>
      <c r="L9" s="21"/>
      <c r="M9" s="21"/>
      <c r="N9" s="21"/>
      <c r="O9" s="21"/>
      <c r="P9" s="11"/>
      <c r="Q9" s="14"/>
      <c r="R9" s="23"/>
      <c r="S9" s="23"/>
      <c r="T9" s="23"/>
      <c r="U9" s="23"/>
    </row>
    <row r="10" spans="1:21">
      <c r="A10" s="7" t="s">
        <v>26</v>
      </c>
      <c r="B10" s="8">
        <v>9640.9689999999991</v>
      </c>
      <c r="C10" s="8">
        <v>11868.3</v>
      </c>
      <c r="D10" s="8">
        <v>10510.968999999999</v>
      </c>
      <c r="E10" s="8">
        <v>11568.453</v>
      </c>
      <c r="F10" s="8">
        <v>8979.15</v>
      </c>
      <c r="G10" s="20">
        <f>MIN(B10:F10)</f>
        <v>8979.15</v>
      </c>
      <c r="H10" s="20">
        <f>MAX(B10:F10)</f>
        <v>11868.3</v>
      </c>
      <c r="I10" s="20">
        <f>AVERAGE(B10:F10)</f>
        <v>10513.5682</v>
      </c>
      <c r="J10" s="20">
        <f>_xlfn.STDEV.S(B10:F10)</f>
        <v>1231.2550023629017</v>
      </c>
      <c r="K10" s="21"/>
      <c r="L10" s="21"/>
      <c r="M10" s="21"/>
      <c r="N10" s="21"/>
      <c r="O10" s="21"/>
      <c r="P10" s="11"/>
      <c r="Q10" s="14"/>
      <c r="R10" s="23"/>
      <c r="S10" s="23"/>
      <c r="T10" s="23"/>
      <c r="U10" s="23"/>
    </row>
    <row r="11" spans="1:21">
      <c r="A11" s="19" t="s">
        <v>28</v>
      </c>
      <c r="B11" s="18"/>
      <c r="C11" s="18"/>
      <c r="D11" s="18"/>
      <c r="E11" s="18"/>
      <c r="F11" s="18"/>
      <c r="G11" s="19"/>
      <c r="H11" s="19"/>
      <c r="I11" s="19"/>
      <c r="J11" s="19"/>
      <c r="K11" s="18"/>
      <c r="L11" s="18"/>
      <c r="M11" s="18"/>
      <c r="N11" s="18"/>
      <c r="O11" s="18"/>
      <c r="P11" s="16"/>
      <c r="Q11" s="22"/>
      <c r="R11" s="16"/>
      <c r="S11" s="16"/>
      <c r="T11" s="16"/>
      <c r="U11" s="16"/>
    </row>
    <row r="12" spans="1:21">
      <c r="A12" s="7" t="s">
        <v>25</v>
      </c>
      <c r="B12" s="8">
        <v>24194.971000000001</v>
      </c>
      <c r="C12" s="8">
        <v>25140.146000000001</v>
      </c>
      <c r="D12" s="8">
        <v>21357.838</v>
      </c>
      <c r="E12" s="8">
        <v>25772.685000000001</v>
      </c>
      <c r="F12" s="8">
        <v>25143.359</v>
      </c>
      <c r="G12" s="20">
        <f>MIN(B12:F12)</f>
        <v>21357.838</v>
      </c>
      <c r="H12" s="20">
        <f>MAX(B12:F12)</f>
        <v>25772.685000000001</v>
      </c>
      <c r="I12" s="20">
        <f>AVERAGE(B12:F12)</f>
        <v>24321.799800000001</v>
      </c>
      <c r="J12" s="20">
        <f>_xlfn.STDEV.S(B12:F12)</f>
        <v>1750.0623547538819</v>
      </c>
      <c r="K12" s="21"/>
      <c r="L12" s="21"/>
      <c r="M12" s="21"/>
      <c r="N12" s="21"/>
      <c r="O12" s="21"/>
      <c r="P12" s="11"/>
      <c r="Q12" s="14"/>
      <c r="R12" s="23"/>
      <c r="S12" s="23"/>
      <c r="T12" s="23"/>
      <c r="U12" s="23"/>
    </row>
    <row r="13" spans="1:21">
      <c r="A13" s="7" t="s">
        <v>26</v>
      </c>
      <c r="B13" s="8">
        <v>24758.131000000001</v>
      </c>
      <c r="C13" s="8">
        <v>24306.445</v>
      </c>
      <c r="D13" s="8">
        <v>19694.12</v>
      </c>
      <c r="E13" s="8">
        <v>23534.880000000001</v>
      </c>
      <c r="F13" s="8">
        <v>24727.398000000001</v>
      </c>
      <c r="G13" s="20">
        <f>MIN(B13:F13)</f>
        <v>19694.12</v>
      </c>
      <c r="H13" s="20">
        <f>MAX(B13:F13)</f>
        <v>24758.131000000001</v>
      </c>
      <c r="I13" s="20">
        <f>AVERAGE(B13:F13)</f>
        <v>23404.194800000001</v>
      </c>
      <c r="J13" s="20">
        <f>_xlfn.STDEV.S(B13:F13)</f>
        <v>2131.8887757487969</v>
      </c>
      <c r="K13" s="21"/>
      <c r="L13" s="21"/>
      <c r="M13" s="21"/>
      <c r="N13" s="21"/>
      <c r="O13" s="21"/>
      <c r="P13" s="11"/>
      <c r="Q13" s="14"/>
      <c r="R13" s="23"/>
      <c r="S13" s="23"/>
      <c r="T13" s="23"/>
      <c r="U13" s="23"/>
    </row>
    <row r="15" spans="1:21">
      <c r="A15" s="2" t="s">
        <v>29</v>
      </c>
      <c r="B15" t="s">
        <v>56</v>
      </c>
      <c r="D15" t="s">
        <v>46</v>
      </c>
      <c r="L15" s="2"/>
    </row>
    <row r="16" spans="1:21" ht="15.75">
      <c r="A16" t="s">
        <v>45</v>
      </c>
      <c r="K16" s="26"/>
      <c r="L16" s="26"/>
      <c r="M16" s="27" t="s">
        <v>7</v>
      </c>
      <c r="N16" s="26"/>
      <c r="O16" s="26"/>
    </row>
    <row r="17" spans="1:15" ht="18.75">
      <c r="A17" s="3" t="s">
        <v>30</v>
      </c>
      <c r="B17" s="90" t="s">
        <v>9</v>
      </c>
      <c r="C17" s="91" t="s">
        <v>10</v>
      </c>
      <c r="D17" s="91" t="s">
        <v>11</v>
      </c>
      <c r="E17" s="91" t="s">
        <v>12</v>
      </c>
      <c r="F17" s="91" t="s">
        <v>13</v>
      </c>
      <c r="G17" s="91" t="s">
        <v>14</v>
      </c>
      <c r="H17" s="91" t="s">
        <v>15</v>
      </c>
      <c r="I17" s="91" t="s">
        <v>16</v>
      </c>
      <c r="J17" s="91" t="s">
        <v>17</v>
      </c>
      <c r="K17" s="91" t="s">
        <v>18</v>
      </c>
      <c r="L17" s="91" t="s">
        <v>19</v>
      </c>
      <c r="M17" s="91" t="s">
        <v>20</v>
      </c>
      <c r="N17" s="91" t="s">
        <v>21</v>
      </c>
      <c r="O17" s="92" t="s">
        <v>22</v>
      </c>
    </row>
    <row r="18" spans="1:15">
      <c r="A18" s="19" t="s">
        <v>57</v>
      </c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3"/>
    </row>
    <row r="19" spans="1:15">
      <c r="A19" s="7" t="s">
        <v>25</v>
      </c>
      <c r="B19" s="58">
        <v>193.53</v>
      </c>
      <c r="C19" s="59">
        <v>192.02</v>
      </c>
      <c r="D19" s="59">
        <v>191.99</v>
      </c>
      <c r="E19" s="59">
        <v>192.08</v>
      </c>
      <c r="F19" s="59">
        <v>193.08</v>
      </c>
      <c r="G19" s="83">
        <v>191.99</v>
      </c>
      <c r="H19" s="83">
        <v>193.53</v>
      </c>
      <c r="I19" s="83">
        <v>192.54</v>
      </c>
      <c r="J19" s="83">
        <v>0.71699999999999997</v>
      </c>
      <c r="K19" s="84">
        <v>25177</v>
      </c>
      <c r="L19" s="59">
        <v>0</v>
      </c>
      <c r="M19" s="84">
        <v>5350</v>
      </c>
      <c r="N19" s="59">
        <v>1</v>
      </c>
      <c r="O19" s="60">
        <v>329</v>
      </c>
    </row>
    <row r="20" spans="1:15">
      <c r="A20" s="7" t="s">
        <v>26</v>
      </c>
      <c r="B20" s="58">
        <v>287.20999999999998</v>
      </c>
      <c r="C20" s="59">
        <v>280.02999999999997</v>
      </c>
      <c r="D20" s="59">
        <v>280.31</v>
      </c>
      <c r="E20" s="59">
        <v>280.02</v>
      </c>
      <c r="F20" s="59">
        <v>280.69</v>
      </c>
      <c r="G20" s="83">
        <v>280.02</v>
      </c>
      <c r="H20" s="83">
        <v>287.20999999999998</v>
      </c>
      <c r="I20" s="83">
        <v>281.65199999999999</v>
      </c>
      <c r="J20" s="83">
        <v>3.1190000000000002</v>
      </c>
      <c r="K20" s="84">
        <v>28545</v>
      </c>
      <c r="L20" s="59">
        <v>0</v>
      </c>
      <c r="M20" s="59">
        <v>226</v>
      </c>
      <c r="N20" s="59">
        <v>1</v>
      </c>
      <c r="O20" s="60">
        <v>454</v>
      </c>
    </row>
    <row r="21" spans="1:15">
      <c r="A21" s="19" t="s">
        <v>58</v>
      </c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</row>
    <row r="22" spans="1:15">
      <c r="A22" s="7" t="s">
        <v>25</v>
      </c>
      <c r="B22" s="58">
        <v>7355.26</v>
      </c>
      <c r="C22" s="59">
        <v>7354.47</v>
      </c>
      <c r="D22" s="59">
        <v>7321.64</v>
      </c>
      <c r="E22" s="59">
        <v>7330.34</v>
      </c>
      <c r="F22" s="59">
        <v>7311.98</v>
      </c>
      <c r="G22" s="83">
        <v>7311.98</v>
      </c>
      <c r="H22" s="83">
        <v>7355.26</v>
      </c>
      <c r="I22" s="83">
        <v>7334.7380000000003</v>
      </c>
      <c r="J22" s="83">
        <v>19.4893</v>
      </c>
      <c r="K22" s="84">
        <v>25175</v>
      </c>
      <c r="L22" s="59">
        <v>0.4</v>
      </c>
      <c r="M22" s="84">
        <v>5349</v>
      </c>
      <c r="N22" s="59">
        <v>2</v>
      </c>
      <c r="O22" s="85">
        <v>16631</v>
      </c>
    </row>
    <row r="23" spans="1:15">
      <c r="A23" s="7" t="s">
        <v>26</v>
      </c>
      <c r="B23" s="58">
        <v>10691.92</v>
      </c>
      <c r="C23" s="59">
        <v>10612.08</v>
      </c>
      <c r="D23" s="59">
        <v>10630.33</v>
      </c>
      <c r="E23" s="59">
        <v>10654.93</v>
      </c>
      <c r="F23" s="59">
        <v>10661.31</v>
      </c>
      <c r="G23" s="83">
        <v>10612.08</v>
      </c>
      <c r="H23" s="83">
        <v>10691.92</v>
      </c>
      <c r="I23" s="83">
        <v>10650.114</v>
      </c>
      <c r="J23" s="83">
        <v>30.554400000000001</v>
      </c>
      <c r="K23" s="84">
        <v>28581</v>
      </c>
      <c r="L23" s="59">
        <v>0.2</v>
      </c>
      <c r="M23" s="59">
        <v>226</v>
      </c>
      <c r="N23" s="59">
        <v>1</v>
      </c>
      <c r="O23" s="85">
        <v>22261</v>
      </c>
    </row>
    <row r="24" spans="1:15">
      <c r="A24" s="19" t="s">
        <v>59</v>
      </c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3"/>
    </row>
    <row r="25" spans="1:15">
      <c r="A25" s="7" t="s">
        <v>25</v>
      </c>
      <c r="B25" s="58">
        <v>22722.47</v>
      </c>
      <c r="C25" s="59">
        <v>22517.15</v>
      </c>
      <c r="D25" s="59">
        <v>22455.46</v>
      </c>
      <c r="E25" s="59">
        <v>22814.78</v>
      </c>
      <c r="F25" s="59">
        <v>23119.599999999999</v>
      </c>
      <c r="G25" s="83">
        <v>22455.46</v>
      </c>
      <c r="H25" s="83">
        <v>23119.599999999999</v>
      </c>
      <c r="I25" s="83">
        <v>22725.892</v>
      </c>
      <c r="J25" s="83">
        <v>264.3981</v>
      </c>
      <c r="K25" s="84">
        <v>25130</v>
      </c>
      <c r="L25" s="59">
        <v>0.4</v>
      </c>
      <c r="M25" s="84">
        <v>5349</v>
      </c>
      <c r="N25" s="59">
        <v>1</v>
      </c>
      <c r="O25" s="85">
        <v>52998</v>
      </c>
    </row>
    <row r="26" spans="1:15">
      <c r="A26" s="7" t="s">
        <v>26</v>
      </c>
      <c r="B26" s="64">
        <v>32814.019999999997</v>
      </c>
      <c r="C26" s="65">
        <v>32746.31</v>
      </c>
      <c r="D26" s="65">
        <v>32841.5</v>
      </c>
      <c r="E26" s="65">
        <v>33804.67</v>
      </c>
      <c r="F26" s="65">
        <v>33952.69</v>
      </c>
      <c r="G26" s="87">
        <v>32746.31</v>
      </c>
      <c r="H26" s="87">
        <v>33952.69</v>
      </c>
      <c r="I26" s="87">
        <v>33231.838000000003</v>
      </c>
      <c r="J26" s="87">
        <v>593.80909999999994</v>
      </c>
      <c r="K26" s="88">
        <v>28540</v>
      </c>
      <c r="L26" s="65">
        <v>0.2</v>
      </c>
      <c r="M26" s="65">
        <v>225</v>
      </c>
      <c r="N26" s="65">
        <v>1</v>
      </c>
      <c r="O26" s="89">
        <v>79050</v>
      </c>
    </row>
    <row r="28" spans="1:15">
      <c r="A28" s="2"/>
    </row>
    <row r="29" spans="1:15">
      <c r="A29" s="93" t="s">
        <v>29</v>
      </c>
      <c r="B29" s="67" t="s">
        <v>60</v>
      </c>
      <c r="C29" s="67"/>
      <c r="D29" s="67" t="s">
        <v>52</v>
      </c>
      <c r="E29" s="67"/>
      <c r="F29" s="68"/>
    </row>
    <row r="30" spans="1:15">
      <c r="A30" s="94" t="s">
        <v>61</v>
      </c>
      <c r="B30" s="69"/>
      <c r="C30" s="69"/>
      <c r="D30" s="70"/>
      <c r="E30" s="69"/>
      <c r="F30" s="71"/>
      <c r="G30" s="80"/>
      <c r="H30" s="81"/>
      <c r="I30" s="81"/>
      <c r="J30" s="81"/>
      <c r="K30" s="101" t="s">
        <v>62</v>
      </c>
      <c r="L30" s="102"/>
      <c r="M30" s="102"/>
      <c r="N30" s="102"/>
      <c r="O30" s="103"/>
    </row>
    <row r="31" spans="1:15">
      <c r="A31" s="74" t="s">
        <v>30</v>
      </c>
      <c r="B31" s="75" t="s">
        <v>9</v>
      </c>
      <c r="C31" s="75" t="s">
        <v>10</v>
      </c>
      <c r="D31" s="75" t="s">
        <v>11</v>
      </c>
      <c r="E31" s="75" t="s">
        <v>12</v>
      </c>
      <c r="F31" s="76" t="s">
        <v>13</v>
      </c>
      <c r="G31" s="74" t="s">
        <v>14</v>
      </c>
      <c r="H31" s="75" t="s">
        <v>15</v>
      </c>
      <c r="I31" s="75" t="s">
        <v>16</v>
      </c>
      <c r="J31" s="75" t="s">
        <v>17</v>
      </c>
      <c r="K31" s="75" t="s">
        <v>18</v>
      </c>
      <c r="L31" s="75" t="s">
        <v>19</v>
      </c>
      <c r="M31" s="75" t="s">
        <v>20</v>
      </c>
      <c r="N31" s="75" t="s">
        <v>21</v>
      </c>
      <c r="O31" s="76" t="s">
        <v>22</v>
      </c>
    </row>
    <row r="32" spans="1:15">
      <c r="A32" s="77" t="s">
        <v>48</v>
      </c>
      <c r="B32" s="62"/>
      <c r="C32" s="62"/>
      <c r="D32" s="62"/>
      <c r="E32" s="62"/>
      <c r="F32" s="63"/>
      <c r="G32" s="61"/>
      <c r="H32" s="62"/>
      <c r="I32" s="62"/>
      <c r="J32" s="62"/>
      <c r="K32" s="62"/>
      <c r="L32" s="62"/>
      <c r="M32" s="62"/>
      <c r="N32" s="62"/>
      <c r="O32" s="63"/>
    </row>
    <row r="33" spans="1:15">
      <c r="A33" s="78" t="s">
        <v>25</v>
      </c>
      <c r="B33" s="59">
        <v>187.25</v>
      </c>
      <c r="C33" s="59">
        <v>186.02</v>
      </c>
      <c r="D33" s="59">
        <v>187.12</v>
      </c>
      <c r="E33" s="59">
        <v>185.93</v>
      </c>
      <c r="F33" s="60">
        <v>187.21</v>
      </c>
      <c r="G33" s="82">
        <v>185.93</v>
      </c>
      <c r="H33" s="83">
        <v>187.25</v>
      </c>
      <c r="I33" s="83">
        <v>186.70599999999999</v>
      </c>
      <c r="J33" s="83">
        <v>0.66969999999999996</v>
      </c>
      <c r="K33" s="84">
        <v>24726</v>
      </c>
      <c r="L33" s="59">
        <v>1.6</v>
      </c>
      <c r="M33" s="84">
        <v>1718</v>
      </c>
      <c r="N33" s="59">
        <v>0</v>
      </c>
      <c r="O33" s="85">
        <v>24244</v>
      </c>
    </row>
    <row r="34" spans="1:15">
      <c r="A34" s="78" t="s">
        <v>26</v>
      </c>
      <c r="B34" s="59">
        <v>225.91</v>
      </c>
      <c r="C34" s="59">
        <v>225.71</v>
      </c>
      <c r="D34" s="59">
        <v>222.26</v>
      </c>
      <c r="E34" s="59">
        <v>220.65</v>
      </c>
      <c r="F34" s="60">
        <v>219.98</v>
      </c>
      <c r="G34" s="82">
        <v>219.98</v>
      </c>
      <c r="H34" s="83">
        <v>225.91</v>
      </c>
      <c r="I34" s="83">
        <v>222.90199999999999</v>
      </c>
      <c r="J34" s="83">
        <v>2.7818000000000001</v>
      </c>
      <c r="K34" s="84">
        <v>23920</v>
      </c>
      <c r="L34" s="59">
        <v>3.4</v>
      </c>
      <c r="M34" s="84">
        <v>2675</v>
      </c>
      <c r="N34" s="59">
        <v>0</v>
      </c>
      <c r="O34" s="85">
        <v>26869</v>
      </c>
    </row>
    <row r="35" spans="1:15">
      <c r="A35" s="77" t="s">
        <v>49</v>
      </c>
      <c r="B35" s="62"/>
      <c r="C35" s="62"/>
      <c r="D35" s="62"/>
      <c r="E35" s="62"/>
      <c r="F35" s="63"/>
      <c r="G35" s="61"/>
      <c r="H35" s="62"/>
      <c r="I35" s="62"/>
      <c r="J35" s="62"/>
      <c r="K35" s="62"/>
      <c r="L35" s="62"/>
      <c r="M35" s="62"/>
      <c r="N35" s="62"/>
      <c r="O35" s="63"/>
    </row>
    <row r="36" spans="1:15">
      <c r="A36" s="78" t="s">
        <v>25</v>
      </c>
      <c r="B36" s="59">
        <v>7076.28</v>
      </c>
      <c r="C36" s="59">
        <v>7063.84</v>
      </c>
      <c r="D36" s="59">
        <v>7118.62</v>
      </c>
      <c r="E36" s="59">
        <v>7072.87</v>
      </c>
      <c r="F36" s="60">
        <v>7086.68</v>
      </c>
      <c r="G36" s="82">
        <v>7063.84</v>
      </c>
      <c r="H36" s="83">
        <v>7118.62</v>
      </c>
      <c r="I36" s="83">
        <v>7083.6580000000004</v>
      </c>
      <c r="J36" s="83">
        <v>21.184000000000001</v>
      </c>
      <c r="K36" s="84">
        <v>24726</v>
      </c>
      <c r="L36" s="59">
        <v>3</v>
      </c>
      <c r="M36" s="84">
        <v>1716</v>
      </c>
      <c r="N36" s="59">
        <v>4</v>
      </c>
      <c r="O36" s="85">
        <v>698327</v>
      </c>
    </row>
    <row r="37" spans="1:15">
      <c r="A37" s="78" t="s">
        <v>26</v>
      </c>
      <c r="B37" s="59">
        <v>8395.24</v>
      </c>
      <c r="C37" s="59">
        <v>8427.4599999999991</v>
      </c>
      <c r="D37" s="59">
        <v>8410.74</v>
      </c>
      <c r="E37" s="59">
        <v>8408.81</v>
      </c>
      <c r="F37" s="60">
        <v>8397.9500000000007</v>
      </c>
      <c r="G37" s="82">
        <v>8395.24</v>
      </c>
      <c r="H37" s="83">
        <v>8427.4599999999991</v>
      </c>
      <c r="I37" s="83">
        <v>8408.0400000000009</v>
      </c>
      <c r="J37" s="83">
        <v>12.754099999999999</v>
      </c>
      <c r="K37" s="84">
        <v>23920</v>
      </c>
      <c r="L37" s="59">
        <v>5</v>
      </c>
      <c r="M37" s="84">
        <v>2673</v>
      </c>
      <c r="N37" s="59">
        <v>5</v>
      </c>
      <c r="O37" s="85">
        <v>821745</v>
      </c>
    </row>
    <row r="38" spans="1:15">
      <c r="A38" s="77" t="s">
        <v>50</v>
      </c>
      <c r="B38" s="62"/>
      <c r="C38" s="62"/>
      <c r="D38" s="62"/>
      <c r="E38" s="62"/>
      <c r="F38" s="63"/>
      <c r="G38" s="61"/>
      <c r="H38" s="62"/>
      <c r="I38" s="62"/>
      <c r="J38" s="62"/>
      <c r="K38" s="62"/>
      <c r="L38" s="62"/>
      <c r="M38" s="62"/>
      <c r="N38" s="62"/>
      <c r="O38" s="63"/>
    </row>
    <row r="39" spans="1:15">
      <c r="A39" s="78" t="s">
        <v>25</v>
      </c>
      <c r="B39" s="59">
        <v>21738.68</v>
      </c>
      <c r="C39" s="59">
        <v>21750.92</v>
      </c>
      <c r="D39" s="59">
        <v>21793.57</v>
      </c>
      <c r="E39" s="59">
        <v>21743.65</v>
      </c>
      <c r="F39" s="60">
        <v>21753.21</v>
      </c>
      <c r="G39" s="82">
        <v>21738.68</v>
      </c>
      <c r="H39" s="83">
        <v>21793.57</v>
      </c>
      <c r="I39" s="83">
        <v>21756.006000000001</v>
      </c>
      <c r="J39" s="83">
        <v>21.7807</v>
      </c>
      <c r="K39" s="84">
        <v>24723</v>
      </c>
      <c r="L39" s="59">
        <v>3</v>
      </c>
      <c r="M39" s="84">
        <v>1720</v>
      </c>
      <c r="N39" s="59">
        <v>2</v>
      </c>
      <c r="O39" s="85">
        <v>2416101</v>
      </c>
    </row>
    <row r="40" spans="1:15">
      <c r="A40" s="79" t="s">
        <v>26</v>
      </c>
      <c r="B40" s="65">
        <v>25778.53</v>
      </c>
      <c r="C40" s="65">
        <v>25960.42</v>
      </c>
      <c r="D40" s="65">
        <v>25822.61</v>
      </c>
      <c r="E40" s="65">
        <v>26555.22</v>
      </c>
      <c r="F40" s="66">
        <v>25824.07</v>
      </c>
      <c r="G40" s="86">
        <v>25778.53</v>
      </c>
      <c r="H40" s="87">
        <v>26555.22</v>
      </c>
      <c r="I40" s="87">
        <v>25988.17</v>
      </c>
      <c r="J40" s="87">
        <v>324.26979999999998</v>
      </c>
      <c r="K40" s="88">
        <v>23920</v>
      </c>
      <c r="L40" s="65">
        <v>4.8</v>
      </c>
      <c r="M40" s="88">
        <v>2687</v>
      </c>
      <c r="N40" s="65">
        <v>3</v>
      </c>
      <c r="O40" s="89">
        <v>3156962</v>
      </c>
    </row>
    <row r="41" spans="1:15">
      <c r="A41" s="2"/>
    </row>
    <row r="42" spans="1:15">
      <c r="A42" s="2"/>
    </row>
    <row r="43" spans="1:15">
      <c r="A43" s="2"/>
    </row>
    <row r="44" spans="1:15">
      <c r="A44" s="2"/>
    </row>
    <row r="45" spans="1:15" ht="15.75">
      <c r="K45" s="26"/>
      <c r="L45" s="26"/>
      <c r="M45" s="27" t="s">
        <v>7</v>
      </c>
      <c r="N45" s="26"/>
      <c r="O45" s="26"/>
    </row>
    <row r="46" spans="1:15" ht="18.75">
      <c r="A46" s="3" t="s">
        <v>31</v>
      </c>
      <c r="B46" s="4" t="s">
        <v>9</v>
      </c>
      <c r="C46" s="4" t="s">
        <v>10</v>
      </c>
      <c r="D46" s="4" t="s">
        <v>11</v>
      </c>
      <c r="E46" s="4" t="s">
        <v>12</v>
      </c>
      <c r="F46" s="4" t="s">
        <v>13</v>
      </c>
      <c r="G46" s="4" t="s">
        <v>14</v>
      </c>
      <c r="H46" s="4" t="s">
        <v>15</v>
      </c>
      <c r="I46" s="4" t="s">
        <v>16</v>
      </c>
      <c r="J46" s="4" t="s">
        <v>17</v>
      </c>
      <c r="K46" s="4" t="s">
        <v>18</v>
      </c>
      <c r="L46" s="4" t="s">
        <v>19</v>
      </c>
      <c r="M46" s="4" t="s">
        <v>20</v>
      </c>
      <c r="N46" s="4" t="s">
        <v>21</v>
      </c>
      <c r="O46" s="4" t="s">
        <v>22</v>
      </c>
    </row>
    <row r="47" spans="1:15">
      <c r="A47" s="19" t="s">
        <v>53</v>
      </c>
      <c r="B47" s="18"/>
      <c r="C47" s="18"/>
      <c r="D47" s="18"/>
      <c r="E47" s="18"/>
      <c r="F47" s="18"/>
      <c r="G47" s="19"/>
      <c r="H47" s="19"/>
      <c r="I47" s="19"/>
      <c r="J47" s="19"/>
      <c r="K47" s="18"/>
      <c r="L47" s="18"/>
      <c r="M47" s="18"/>
      <c r="N47" s="18"/>
      <c r="O47" s="18"/>
    </row>
    <row r="48" spans="1:15">
      <c r="A48" s="7" t="s">
        <v>25</v>
      </c>
      <c r="B48" s="8"/>
      <c r="C48" s="8"/>
      <c r="D48" s="8"/>
      <c r="E48" s="8"/>
      <c r="F48" s="8"/>
      <c r="G48" s="20">
        <f>MIN(B48:F48)</f>
        <v>0</v>
      </c>
      <c r="H48" s="20">
        <f>MAX(B48:F48)</f>
        <v>0</v>
      </c>
      <c r="I48" s="20" t="e">
        <f>AVERAGE(B48:F48)</f>
        <v>#DIV/0!</v>
      </c>
      <c r="J48" s="20" t="e">
        <f>_xlfn.STDEV.S(B48:F48)</f>
        <v>#DIV/0!</v>
      </c>
      <c r="K48" s="21"/>
      <c r="L48" s="21"/>
      <c r="M48" s="21"/>
      <c r="N48" s="21"/>
      <c r="O48" s="21"/>
    </row>
    <row r="49" spans="1:15">
      <c r="A49" s="7" t="s">
        <v>26</v>
      </c>
      <c r="B49" s="8"/>
      <c r="C49" s="8"/>
      <c r="D49" s="8"/>
      <c r="E49" s="8"/>
      <c r="F49" s="8"/>
      <c r="G49" s="20">
        <f>MIN(B49:F49)</f>
        <v>0</v>
      </c>
      <c r="H49" s="20">
        <f>MAX(B49:F49)</f>
        <v>0</v>
      </c>
      <c r="I49" s="20" t="e">
        <f>AVERAGE(B49:F49)</f>
        <v>#DIV/0!</v>
      </c>
      <c r="J49" s="20" t="e">
        <f>_xlfn.STDEV.S(B49:F49)</f>
        <v>#DIV/0!</v>
      </c>
      <c r="K49" s="21"/>
      <c r="L49" s="21"/>
      <c r="M49" s="21"/>
      <c r="N49" s="21"/>
      <c r="O49" s="21"/>
    </row>
    <row r="50" spans="1:15">
      <c r="A50" s="19" t="s">
        <v>27</v>
      </c>
      <c r="B50" s="18"/>
      <c r="C50" s="18"/>
      <c r="D50" s="18"/>
      <c r="E50" s="18"/>
      <c r="F50" s="18"/>
      <c r="G50" s="19"/>
      <c r="H50" s="19"/>
      <c r="I50" s="19"/>
      <c r="J50" s="19"/>
      <c r="K50" s="18"/>
      <c r="L50" s="18"/>
      <c r="M50" s="18"/>
      <c r="N50" s="18"/>
      <c r="O50" s="18"/>
    </row>
    <row r="51" spans="1:15">
      <c r="A51" s="7" t="s">
        <v>25</v>
      </c>
      <c r="B51" s="8"/>
      <c r="C51" s="8"/>
      <c r="D51" s="8"/>
      <c r="E51" s="8"/>
      <c r="F51" s="8"/>
      <c r="G51" s="20">
        <f>MIN(B51:F51)</f>
        <v>0</v>
      </c>
      <c r="H51" s="20">
        <f>MAX(B51:F51)</f>
        <v>0</v>
      </c>
      <c r="I51" s="20" t="e">
        <f>AVERAGE(B51:F51)</f>
        <v>#DIV/0!</v>
      </c>
      <c r="J51" s="20" t="e">
        <f>_xlfn.STDEV.S(B51:F51)</f>
        <v>#DIV/0!</v>
      </c>
      <c r="K51" s="21"/>
      <c r="L51" s="21"/>
      <c r="M51" s="21"/>
      <c r="N51" s="21"/>
      <c r="O51" s="21"/>
    </row>
    <row r="52" spans="1:15">
      <c r="A52" s="7" t="s">
        <v>26</v>
      </c>
      <c r="B52" s="8"/>
      <c r="C52" s="8"/>
      <c r="D52" s="8"/>
      <c r="E52" s="8"/>
      <c r="F52" s="8"/>
      <c r="G52" s="20">
        <f>MIN(B52:F52)</f>
        <v>0</v>
      </c>
      <c r="H52" s="20">
        <f>MAX(B52:F52)</f>
        <v>0</v>
      </c>
      <c r="I52" s="20" t="e">
        <f>AVERAGE(B52:F52)</f>
        <v>#DIV/0!</v>
      </c>
      <c r="J52" s="20" t="e">
        <f>_xlfn.STDEV.S(B52:F52)</f>
        <v>#DIV/0!</v>
      </c>
      <c r="K52" s="21"/>
      <c r="L52" s="21"/>
      <c r="M52" s="21"/>
      <c r="N52" s="21"/>
      <c r="O52" s="21"/>
    </row>
    <row r="53" spans="1:15">
      <c r="A53" s="19" t="s">
        <v>28</v>
      </c>
      <c r="B53" s="18"/>
      <c r="C53" s="18"/>
      <c r="D53" s="18"/>
      <c r="E53" s="18"/>
      <c r="F53" s="18"/>
      <c r="G53" s="19"/>
      <c r="H53" s="19"/>
      <c r="I53" s="19"/>
      <c r="J53" s="19"/>
      <c r="K53" s="18"/>
      <c r="L53" s="18"/>
      <c r="M53" s="18"/>
      <c r="N53" s="18"/>
      <c r="O53" s="18"/>
    </row>
    <row r="54" spans="1:15">
      <c r="A54" s="7" t="s">
        <v>25</v>
      </c>
      <c r="B54" s="8"/>
      <c r="C54" s="8"/>
      <c r="D54" s="8"/>
      <c r="E54" s="8"/>
      <c r="F54" s="8"/>
      <c r="G54" s="20">
        <f>MIN(B54:F54)</f>
        <v>0</v>
      </c>
      <c r="H54" s="20">
        <f>MAX(B54:F54)</f>
        <v>0</v>
      </c>
      <c r="I54" s="20" t="e">
        <f>AVERAGE(B54:F54)</f>
        <v>#DIV/0!</v>
      </c>
      <c r="J54" s="20" t="e">
        <f>_xlfn.STDEV.S(B54:F54)</f>
        <v>#DIV/0!</v>
      </c>
      <c r="K54" s="21"/>
      <c r="L54" s="21"/>
      <c r="M54" s="21"/>
      <c r="N54" s="21"/>
      <c r="O54" s="21"/>
    </row>
    <row r="55" spans="1:15">
      <c r="A55" s="7" t="s">
        <v>26</v>
      </c>
      <c r="B55" s="8"/>
      <c r="C55" s="8"/>
      <c r="D55" s="8"/>
      <c r="E55" s="8"/>
      <c r="F55" s="8"/>
      <c r="G55" s="20">
        <f>MIN(B55:F55)</f>
        <v>0</v>
      </c>
      <c r="H55" s="20">
        <f>MAX(B55:F55)</f>
        <v>0</v>
      </c>
      <c r="I55" s="20" t="e">
        <f>AVERAGE(B55:F55)</f>
        <v>#DIV/0!</v>
      </c>
      <c r="J55" s="20" t="e">
        <f>_xlfn.STDEV.S(B55:F55)</f>
        <v>#DIV/0!</v>
      </c>
      <c r="K55" s="21"/>
      <c r="L55" s="21"/>
      <c r="M55" s="21"/>
      <c r="N55" s="21"/>
      <c r="O55" s="21"/>
    </row>
    <row r="57" spans="1:15">
      <c r="A57" s="2" t="s">
        <v>29</v>
      </c>
    </row>
    <row r="58" spans="1:15" ht="15.75">
      <c r="K58" s="26"/>
      <c r="L58" s="26"/>
      <c r="M58" s="27" t="s">
        <v>7</v>
      </c>
      <c r="N58" s="26"/>
      <c r="O58" s="26"/>
    </row>
    <row r="59" spans="1:15" ht="18.75">
      <c r="A59" s="3" t="s">
        <v>32</v>
      </c>
      <c r="B59" s="4" t="s">
        <v>9</v>
      </c>
      <c r="C59" s="4" t="s">
        <v>10</v>
      </c>
      <c r="D59" s="4" t="s">
        <v>11</v>
      </c>
      <c r="E59" s="4" t="s">
        <v>12</v>
      </c>
      <c r="F59" s="4" t="s">
        <v>13</v>
      </c>
      <c r="G59" s="4" t="s">
        <v>14</v>
      </c>
      <c r="H59" s="4" t="s">
        <v>15</v>
      </c>
      <c r="I59" s="4" t="s">
        <v>16</v>
      </c>
      <c r="J59" s="4" t="s">
        <v>17</v>
      </c>
      <c r="K59" s="4" t="s">
        <v>18</v>
      </c>
      <c r="L59" s="4" t="s">
        <v>19</v>
      </c>
      <c r="M59" s="4" t="s">
        <v>20</v>
      </c>
      <c r="N59" s="4" t="s">
        <v>21</v>
      </c>
      <c r="O59" s="4" t="s">
        <v>22</v>
      </c>
    </row>
    <row r="60" spans="1:15">
      <c r="A60" s="19" t="s">
        <v>24</v>
      </c>
      <c r="B60" s="18"/>
      <c r="C60" s="18"/>
      <c r="D60" s="18"/>
      <c r="E60" s="18"/>
      <c r="F60" s="18"/>
      <c r="G60" s="19"/>
      <c r="H60" s="19"/>
      <c r="I60" s="19"/>
      <c r="J60" s="19"/>
      <c r="K60" s="18"/>
      <c r="L60" s="18"/>
      <c r="M60" s="18"/>
      <c r="N60" s="18"/>
      <c r="O60" s="18"/>
    </row>
    <row r="61" spans="1:15">
      <c r="A61" s="7" t="s">
        <v>25</v>
      </c>
      <c r="B61" s="8"/>
      <c r="C61" s="8"/>
      <c r="D61" s="8"/>
      <c r="E61" s="8"/>
      <c r="F61" s="8"/>
      <c r="G61" s="20">
        <f>MIN(B61:F61)</f>
        <v>0</v>
      </c>
      <c r="H61" s="20">
        <f>MAX(B61:F61)</f>
        <v>0</v>
      </c>
      <c r="I61" s="20" t="e">
        <f>AVERAGE(B61:F61)</f>
        <v>#DIV/0!</v>
      </c>
      <c r="J61" s="20" t="e">
        <f>_xlfn.STDEV.S(B61:F61)</f>
        <v>#DIV/0!</v>
      </c>
      <c r="K61" s="21"/>
      <c r="L61" s="21"/>
      <c r="M61" s="21"/>
      <c r="N61" s="21"/>
      <c r="O61" s="21"/>
    </row>
    <row r="62" spans="1:15">
      <c r="A62" s="7" t="s">
        <v>26</v>
      </c>
      <c r="B62" s="8"/>
      <c r="C62" s="8"/>
      <c r="D62" s="8"/>
      <c r="E62" s="8"/>
      <c r="F62" s="8"/>
      <c r="G62" s="20">
        <f>MIN(B62:F62)</f>
        <v>0</v>
      </c>
      <c r="H62" s="20">
        <f>MAX(B62:F62)</f>
        <v>0</v>
      </c>
      <c r="I62" s="20" t="e">
        <f>AVERAGE(B62:F62)</f>
        <v>#DIV/0!</v>
      </c>
      <c r="J62" s="20" t="e">
        <f>_xlfn.STDEV.S(B62:F62)</f>
        <v>#DIV/0!</v>
      </c>
      <c r="K62" s="21"/>
      <c r="L62" s="21"/>
      <c r="M62" s="21"/>
      <c r="N62" s="21"/>
      <c r="O62" s="21"/>
    </row>
    <row r="63" spans="1:15">
      <c r="A63" s="19" t="s">
        <v>27</v>
      </c>
      <c r="B63" s="18"/>
      <c r="C63" s="18"/>
      <c r="D63" s="18"/>
      <c r="E63" s="18"/>
      <c r="F63" s="18"/>
      <c r="G63" s="19"/>
      <c r="H63" s="19"/>
      <c r="I63" s="19"/>
      <c r="J63" s="19"/>
      <c r="K63" s="18"/>
      <c r="L63" s="18"/>
      <c r="M63" s="18"/>
      <c r="N63" s="18"/>
      <c r="O63" s="18"/>
    </row>
    <row r="64" spans="1:15">
      <c r="A64" s="7" t="s">
        <v>25</v>
      </c>
      <c r="B64" s="8"/>
      <c r="C64" s="8"/>
      <c r="D64" s="8"/>
      <c r="E64" s="8"/>
      <c r="F64" s="8"/>
      <c r="G64" s="20">
        <f>MIN(B64:F64)</f>
        <v>0</v>
      </c>
      <c r="H64" s="20">
        <f>MAX(B64:F64)</f>
        <v>0</v>
      </c>
      <c r="I64" s="20" t="e">
        <f>AVERAGE(B64:F64)</f>
        <v>#DIV/0!</v>
      </c>
      <c r="J64" s="20" t="e">
        <f>_xlfn.STDEV.S(B64:F64)</f>
        <v>#DIV/0!</v>
      </c>
      <c r="K64" s="21"/>
      <c r="L64" s="21"/>
      <c r="M64" s="21"/>
      <c r="N64" s="21"/>
      <c r="O64" s="21"/>
    </row>
    <row r="65" spans="1:17">
      <c r="A65" s="7" t="s">
        <v>26</v>
      </c>
      <c r="B65" s="8"/>
      <c r="C65" s="8"/>
      <c r="D65" s="8"/>
      <c r="E65" s="8"/>
      <c r="F65" s="8"/>
      <c r="G65" s="20">
        <f>MIN(B65:F65)</f>
        <v>0</v>
      </c>
      <c r="H65" s="20">
        <f>MAX(B65:F65)</f>
        <v>0</v>
      </c>
      <c r="I65" s="20" t="e">
        <f>AVERAGE(B65:F65)</f>
        <v>#DIV/0!</v>
      </c>
      <c r="J65" s="20" t="e">
        <f>_xlfn.STDEV.S(B65:F65)</f>
        <v>#DIV/0!</v>
      </c>
      <c r="K65" s="21"/>
      <c r="L65" s="21"/>
      <c r="M65" s="21"/>
      <c r="N65" s="21"/>
      <c r="O65" s="21"/>
    </row>
    <row r="66" spans="1:17">
      <c r="A66" s="19" t="s">
        <v>28</v>
      </c>
      <c r="B66" s="18"/>
      <c r="C66" s="18"/>
      <c r="D66" s="18"/>
      <c r="E66" s="18"/>
      <c r="F66" s="18"/>
      <c r="G66" s="19"/>
      <c r="H66" s="19"/>
      <c r="I66" s="19"/>
      <c r="J66" s="19"/>
      <c r="K66" s="18"/>
      <c r="L66" s="18"/>
      <c r="M66" s="18"/>
      <c r="N66" s="18"/>
      <c r="O66" s="18"/>
    </row>
    <row r="67" spans="1:17">
      <c r="A67" s="7" t="s">
        <v>25</v>
      </c>
      <c r="B67" s="8"/>
      <c r="C67" s="8"/>
      <c r="D67" s="8"/>
      <c r="E67" s="8"/>
      <c r="F67" s="8"/>
      <c r="G67" s="20">
        <f>MIN(B67:F67)</f>
        <v>0</v>
      </c>
      <c r="H67" s="20">
        <f>MAX(B67:F67)</f>
        <v>0</v>
      </c>
      <c r="I67" s="20" t="e">
        <f>AVERAGE(B67:F67)</f>
        <v>#DIV/0!</v>
      </c>
      <c r="J67" s="20" t="e">
        <f>_xlfn.STDEV.S(B67:F67)</f>
        <v>#DIV/0!</v>
      </c>
      <c r="K67" s="21"/>
      <c r="L67" s="21"/>
      <c r="M67" s="21"/>
      <c r="N67" s="21"/>
      <c r="O67" s="21"/>
    </row>
    <row r="68" spans="1:17">
      <c r="A68" s="7" t="s">
        <v>26</v>
      </c>
      <c r="B68" s="8"/>
      <c r="C68" s="8"/>
      <c r="D68" s="8"/>
      <c r="E68" s="8"/>
      <c r="F68" s="8"/>
      <c r="G68" s="20">
        <f>MIN(B68:F68)</f>
        <v>0</v>
      </c>
      <c r="H68" s="20">
        <f>MAX(B68:F68)</f>
        <v>0</v>
      </c>
      <c r="I68" s="20" t="e">
        <f>AVERAGE(B68:F68)</f>
        <v>#DIV/0!</v>
      </c>
      <c r="J68" s="20" t="e">
        <f>_xlfn.STDEV.S(B68:F68)</f>
        <v>#DIV/0!</v>
      </c>
      <c r="K68" s="21"/>
      <c r="L68" s="21"/>
      <c r="M68" s="21"/>
      <c r="N68" s="21"/>
      <c r="O68" s="21"/>
    </row>
    <row r="71" spans="1:17">
      <c r="A71" s="2" t="s">
        <v>1</v>
      </c>
      <c r="B71" s="1" t="s">
        <v>33</v>
      </c>
      <c r="D71" t="s">
        <v>34</v>
      </c>
      <c r="L71" s="2"/>
    </row>
    <row r="72" spans="1:17" ht="15.75">
      <c r="D72" t="s">
        <v>35</v>
      </c>
      <c r="F72" t="s">
        <v>36</v>
      </c>
      <c r="K72" s="26"/>
      <c r="L72" s="26"/>
      <c r="M72" s="27" t="s">
        <v>7</v>
      </c>
      <c r="N72" s="26"/>
      <c r="O72" s="26"/>
    </row>
    <row r="73" spans="1:17" ht="18.75">
      <c r="A73" s="3" t="s">
        <v>8</v>
      </c>
      <c r="B73" s="4" t="s">
        <v>9</v>
      </c>
      <c r="C73" s="4" t="s">
        <v>10</v>
      </c>
      <c r="D73" s="4" t="s">
        <v>11</v>
      </c>
      <c r="E73" s="4" t="s">
        <v>12</v>
      </c>
      <c r="F73" s="4" t="s">
        <v>13</v>
      </c>
      <c r="G73" s="4" t="s">
        <v>14</v>
      </c>
      <c r="H73" s="4" t="s">
        <v>15</v>
      </c>
      <c r="I73" s="4" t="s">
        <v>16</v>
      </c>
      <c r="J73" s="4" t="s">
        <v>17</v>
      </c>
      <c r="K73" s="4" t="s">
        <v>18</v>
      </c>
      <c r="L73" s="4" t="s">
        <v>19</v>
      </c>
      <c r="M73" s="4" t="s">
        <v>20</v>
      </c>
      <c r="N73" s="4" t="s">
        <v>21</v>
      </c>
      <c r="O73" s="4" t="s">
        <v>22</v>
      </c>
    </row>
    <row r="74" spans="1:17">
      <c r="A74" s="19" t="s">
        <v>24</v>
      </c>
      <c r="B74" s="18"/>
      <c r="C74" s="18"/>
      <c r="D74" s="18"/>
      <c r="E74" s="18"/>
      <c r="F74" s="18"/>
      <c r="G74" s="19"/>
      <c r="H74" s="19"/>
      <c r="I74" s="19"/>
      <c r="J74" s="19"/>
      <c r="K74" s="18"/>
      <c r="L74" s="18"/>
      <c r="M74" s="18"/>
      <c r="N74" s="18"/>
      <c r="O74" s="18"/>
    </row>
    <row r="75" spans="1:17">
      <c r="A75" s="7" t="s">
        <v>25</v>
      </c>
      <c r="B75" s="8">
        <v>494.56</v>
      </c>
      <c r="C75" s="8">
        <v>484.26</v>
      </c>
      <c r="D75" s="8">
        <v>494.79</v>
      </c>
      <c r="E75" s="8">
        <v>478.65</v>
      </c>
      <c r="F75" s="8">
        <v>478.38</v>
      </c>
      <c r="G75" s="20">
        <f>MIN(B75:F75)</f>
        <v>478.38</v>
      </c>
      <c r="H75" s="20">
        <f>MAX(B75:F75)</f>
        <v>494.79</v>
      </c>
      <c r="I75" s="20">
        <f>AVERAGE(B75:F75)</f>
        <v>486.12799999999999</v>
      </c>
      <c r="J75" s="20">
        <f>_xlfn.STDEV.S(B75:F75)</f>
        <v>8.1481635967867145</v>
      </c>
      <c r="K75" s="21"/>
      <c r="L75" s="21"/>
      <c r="M75" s="21"/>
      <c r="N75" s="21"/>
      <c r="O75" s="21"/>
      <c r="P75" t="s">
        <v>37</v>
      </c>
      <c r="Q75">
        <v>400</v>
      </c>
    </row>
    <row r="76" spans="1:17">
      <c r="A76" s="7" t="s">
        <v>26</v>
      </c>
      <c r="B76" s="8">
        <v>496.81</v>
      </c>
      <c r="C76" s="8">
        <v>496.32</v>
      </c>
      <c r="D76" s="8">
        <v>496.47</v>
      </c>
      <c r="E76" s="8">
        <v>496.97</v>
      </c>
      <c r="F76" s="8">
        <v>498.75</v>
      </c>
      <c r="G76" s="20">
        <f>MIN(B76:F76)</f>
        <v>496.32</v>
      </c>
      <c r="H76" s="20">
        <f>MAX(B76:F76)</f>
        <v>498.75</v>
      </c>
      <c r="I76" s="20">
        <f>AVERAGE(B76:F76)</f>
        <v>497.06399999999996</v>
      </c>
      <c r="J76" s="20">
        <f>_xlfn.STDEV.S(B76:F76)</f>
        <v>0.97753772305727049</v>
      </c>
      <c r="K76" s="21"/>
      <c r="L76" s="21"/>
      <c r="M76" s="21"/>
      <c r="N76" s="21"/>
      <c r="O76" s="21"/>
    </row>
    <row r="77" spans="1:17">
      <c r="A77" s="19" t="s">
        <v>27</v>
      </c>
      <c r="B77" s="18"/>
      <c r="C77" s="18"/>
      <c r="D77" s="18"/>
      <c r="E77" s="18"/>
      <c r="F77" s="18"/>
      <c r="G77" s="19"/>
      <c r="H77" s="19"/>
      <c r="I77" s="19"/>
      <c r="J77" s="19"/>
      <c r="K77" s="18"/>
      <c r="L77" s="18"/>
      <c r="M77" s="18"/>
      <c r="N77" s="18"/>
      <c r="O77" s="18"/>
    </row>
    <row r="78" spans="1:17">
      <c r="A78" s="7" t="s">
        <v>25</v>
      </c>
      <c r="B78" s="8">
        <v>6922</v>
      </c>
      <c r="C78" s="8">
        <v>6875</v>
      </c>
      <c r="D78" s="8">
        <v>6930</v>
      </c>
      <c r="E78" s="8">
        <v>7061</v>
      </c>
      <c r="F78" s="8">
        <v>6872</v>
      </c>
      <c r="G78" s="20">
        <f>MIN(B78:F78)</f>
        <v>6872</v>
      </c>
      <c r="H78" s="20">
        <f>MAX(B78:F78)</f>
        <v>7061</v>
      </c>
      <c r="I78" s="20">
        <f>AVERAGE(B78:F78)</f>
        <v>6932</v>
      </c>
      <c r="J78" s="20">
        <f>_xlfn.STDEV.S(B78:F78)</f>
        <v>76.801692689679697</v>
      </c>
      <c r="K78" s="21"/>
      <c r="L78" s="21"/>
      <c r="M78" s="21"/>
      <c r="N78" s="21"/>
      <c r="O78" s="21"/>
      <c r="P78" t="s">
        <v>37</v>
      </c>
      <c r="Q78">
        <v>900</v>
      </c>
    </row>
    <row r="79" spans="1:17">
      <c r="A79" s="7" t="s">
        <v>26</v>
      </c>
      <c r="B79" s="8">
        <v>6686</v>
      </c>
      <c r="C79" s="8">
        <v>6663</v>
      </c>
      <c r="D79" s="8">
        <v>6665</v>
      </c>
      <c r="E79" s="8">
        <v>6650</v>
      </c>
      <c r="F79" s="8">
        <v>6647</v>
      </c>
      <c r="G79" s="20">
        <f>MIN(B79:F79)</f>
        <v>6647</v>
      </c>
      <c r="H79" s="20">
        <f>MAX(B79:F79)</f>
        <v>6686</v>
      </c>
      <c r="I79" s="20">
        <f>AVERAGE(B79:F79)</f>
        <v>6662.2</v>
      </c>
      <c r="J79" s="20">
        <f>_xlfn.STDEV.S(B79:F79)</f>
        <v>15.449919093639295</v>
      </c>
      <c r="K79" s="21"/>
      <c r="L79" s="21"/>
      <c r="M79" s="21"/>
      <c r="N79" s="21"/>
      <c r="O79" s="21"/>
    </row>
    <row r="80" spans="1:17">
      <c r="A80" s="19" t="s">
        <v>28</v>
      </c>
      <c r="B80" s="18"/>
      <c r="C80" s="18"/>
      <c r="D80" s="18"/>
      <c r="E80" s="18"/>
      <c r="F80" s="18"/>
      <c r="G80" s="19"/>
      <c r="H80" s="19"/>
      <c r="I80" s="19"/>
      <c r="J80" s="19"/>
      <c r="K80" s="18"/>
      <c r="L80" s="18"/>
      <c r="M80" s="18"/>
      <c r="N80" s="18"/>
      <c r="O80" s="18"/>
    </row>
    <row r="81" spans="1:17">
      <c r="A81" s="7" t="s">
        <v>25</v>
      </c>
      <c r="B81" s="8"/>
      <c r="C81" s="8"/>
      <c r="D81" s="8"/>
      <c r="E81" s="8"/>
      <c r="F81" s="8"/>
      <c r="G81" s="20">
        <f>MIN(B81:F81)</f>
        <v>0</v>
      </c>
      <c r="H81" s="20">
        <f>MAX(B81:F81)</f>
        <v>0</v>
      </c>
      <c r="I81" s="20" t="e">
        <f>AVERAGE(B81:F81)</f>
        <v>#DIV/0!</v>
      </c>
      <c r="J81" s="20" t="e">
        <f>_xlfn.STDEV.S(B81:F81)</f>
        <v>#DIV/0!</v>
      </c>
      <c r="K81" s="21"/>
      <c r="L81" s="21"/>
      <c r="M81" s="21"/>
      <c r="N81" s="21"/>
      <c r="O81" s="21"/>
    </row>
    <row r="82" spans="1:17">
      <c r="A82" s="7" t="s">
        <v>26</v>
      </c>
      <c r="B82" s="8"/>
      <c r="C82" s="8"/>
      <c r="D82" s="8"/>
      <c r="E82" s="8"/>
      <c r="F82" s="8"/>
      <c r="G82" s="20">
        <f>MIN(B82:F82)</f>
        <v>0</v>
      </c>
      <c r="H82" s="20">
        <f>MAX(B82:F82)</f>
        <v>0</v>
      </c>
      <c r="I82" s="20" t="e">
        <f>AVERAGE(B82:F82)</f>
        <v>#DIV/0!</v>
      </c>
      <c r="J82" s="20" t="e">
        <f>_xlfn.STDEV.S(B82:F82)</f>
        <v>#DIV/0!</v>
      </c>
      <c r="K82" s="21"/>
      <c r="L82" s="21"/>
      <c r="M82" s="21"/>
      <c r="N82" s="21"/>
      <c r="O82" s="21"/>
    </row>
    <row r="84" spans="1:17">
      <c r="A84" s="2" t="s">
        <v>1</v>
      </c>
      <c r="B84" s="1" t="s">
        <v>33</v>
      </c>
      <c r="D84" t="s">
        <v>34</v>
      </c>
      <c r="L84" s="2"/>
    </row>
    <row r="85" spans="1:17" ht="15.75">
      <c r="D85" t="s">
        <v>35</v>
      </c>
      <c r="F85" t="s">
        <v>36</v>
      </c>
      <c r="K85" s="26"/>
      <c r="L85" s="26"/>
      <c r="M85" s="27" t="s">
        <v>7</v>
      </c>
      <c r="N85" s="26"/>
      <c r="O85" s="26"/>
    </row>
    <row r="86" spans="1:17" ht="18.75">
      <c r="A86" s="3" t="s">
        <v>30</v>
      </c>
      <c r="B86" s="4" t="s">
        <v>9</v>
      </c>
      <c r="C86" s="4" t="s">
        <v>10</v>
      </c>
      <c r="D86" s="4" t="s">
        <v>11</v>
      </c>
      <c r="E86" s="4" t="s">
        <v>12</v>
      </c>
      <c r="F86" s="4" t="s">
        <v>13</v>
      </c>
      <c r="G86" s="4" t="s">
        <v>14</v>
      </c>
      <c r="H86" s="4" t="s">
        <v>15</v>
      </c>
      <c r="I86" s="4" t="s">
        <v>16</v>
      </c>
      <c r="J86" s="4" t="s">
        <v>17</v>
      </c>
      <c r="K86" s="4" t="s">
        <v>18</v>
      </c>
      <c r="L86" s="4" t="s">
        <v>19</v>
      </c>
      <c r="M86" s="4" t="s">
        <v>20</v>
      </c>
      <c r="N86" s="4" t="s">
        <v>21</v>
      </c>
      <c r="O86" s="4" t="s">
        <v>22</v>
      </c>
    </row>
    <row r="87" spans="1:17">
      <c r="A87" s="19" t="s">
        <v>53</v>
      </c>
      <c r="B87" s="18"/>
      <c r="C87" s="18"/>
      <c r="D87" s="18"/>
      <c r="E87" s="18"/>
      <c r="F87" s="18"/>
      <c r="G87" s="19"/>
      <c r="H87" s="19"/>
      <c r="I87" s="19"/>
      <c r="J87" s="19"/>
      <c r="K87" s="18"/>
      <c r="L87" s="18"/>
      <c r="M87" s="18"/>
      <c r="N87" s="18"/>
      <c r="O87" s="18"/>
    </row>
    <row r="88" spans="1:17">
      <c r="A88" s="7" t="s">
        <v>25</v>
      </c>
      <c r="B88" s="8">
        <v>376.48</v>
      </c>
      <c r="C88" s="8">
        <v>374.76</v>
      </c>
      <c r="D88" s="8">
        <v>376.62</v>
      </c>
      <c r="E88" s="8">
        <v>372.93</v>
      </c>
      <c r="F88" s="8">
        <v>382.35</v>
      </c>
      <c r="G88" s="20">
        <f>MIN(B88:F88)</f>
        <v>372.93</v>
      </c>
      <c r="H88" s="20">
        <f>MAX(B88:F88)</f>
        <v>382.35</v>
      </c>
      <c r="I88" s="20">
        <f>AVERAGE(B88:F88)</f>
        <v>376.62800000000004</v>
      </c>
      <c r="J88" s="20">
        <f>_xlfn.STDEV.S(B88:F88)</f>
        <v>3.5329831587484337</v>
      </c>
      <c r="K88" s="21"/>
      <c r="L88" s="21"/>
      <c r="M88" s="21"/>
      <c r="N88" s="21"/>
      <c r="O88" s="21"/>
      <c r="P88" t="s">
        <v>37</v>
      </c>
      <c r="Q88">
        <v>400</v>
      </c>
    </row>
    <row r="89" spans="1:17">
      <c r="A89" s="7" t="s">
        <v>26</v>
      </c>
      <c r="B89" s="8">
        <v>385.28</v>
      </c>
      <c r="C89" s="8">
        <v>385.34</v>
      </c>
      <c r="D89" s="8">
        <v>386.82</v>
      </c>
      <c r="E89" s="8">
        <v>388.11</v>
      </c>
      <c r="F89" s="8">
        <v>385.38</v>
      </c>
      <c r="G89" s="20">
        <f>MIN(B89:F89)</f>
        <v>385.28</v>
      </c>
      <c r="H89" s="20">
        <f>MAX(B89:F89)</f>
        <v>388.11</v>
      </c>
      <c r="I89" s="20">
        <f>AVERAGE(B89:F89)</f>
        <v>386.18599999999998</v>
      </c>
      <c r="J89" s="20">
        <f>_xlfn.STDEV.S(B89:F89)</f>
        <v>1.2539856458508749</v>
      </c>
      <c r="K89" s="21"/>
      <c r="L89" s="21"/>
      <c r="M89" s="21"/>
      <c r="N89" s="21"/>
      <c r="O89" s="21"/>
      <c r="P89" t="s">
        <v>54</v>
      </c>
      <c r="Q89">
        <v>500</v>
      </c>
    </row>
    <row r="90" spans="1:17">
      <c r="A90" s="19" t="s">
        <v>27</v>
      </c>
      <c r="B90" s="18"/>
      <c r="C90" s="18"/>
      <c r="D90" s="18"/>
      <c r="E90" s="18"/>
      <c r="F90" s="18"/>
      <c r="G90" s="19"/>
      <c r="H90" s="19"/>
      <c r="I90" s="19"/>
      <c r="J90" s="19"/>
      <c r="K90" s="18"/>
      <c r="L90" s="18"/>
      <c r="M90" s="18"/>
      <c r="N90" s="18"/>
      <c r="O90" s="18"/>
    </row>
    <row r="91" spans="1:17">
      <c r="A91" s="7" t="s">
        <v>25</v>
      </c>
      <c r="B91" s="8"/>
      <c r="C91" s="8"/>
      <c r="D91" s="8"/>
      <c r="E91" s="8"/>
      <c r="F91" s="8"/>
      <c r="G91" s="20">
        <f>MIN(B91:F91)</f>
        <v>0</v>
      </c>
      <c r="H91" s="20">
        <f>MAX(B91:F91)</f>
        <v>0</v>
      </c>
      <c r="I91" s="20" t="e">
        <f>AVERAGE(B91:F91)</f>
        <v>#DIV/0!</v>
      </c>
      <c r="J91" s="20" t="e">
        <f>_xlfn.STDEV.S(B91:F91)</f>
        <v>#DIV/0!</v>
      </c>
      <c r="K91" s="21"/>
      <c r="L91" s="21"/>
      <c r="M91" s="21"/>
      <c r="N91" s="21"/>
      <c r="O91" s="21"/>
      <c r="P91" t="s">
        <v>37</v>
      </c>
    </row>
    <row r="92" spans="1:17">
      <c r="A92" s="7" t="s">
        <v>26</v>
      </c>
      <c r="B92" s="8"/>
      <c r="C92" s="8"/>
      <c r="D92" s="8"/>
      <c r="E92" s="8"/>
      <c r="F92" s="8"/>
      <c r="G92" s="20">
        <f>MIN(B92:F92)</f>
        <v>0</v>
      </c>
      <c r="H92" s="20">
        <f>MAX(B92:F92)</f>
        <v>0</v>
      </c>
      <c r="I92" s="20" t="e">
        <f>AVERAGE(B92:F92)</f>
        <v>#DIV/0!</v>
      </c>
      <c r="J92" s="20" t="e">
        <f>_xlfn.STDEV.S(B92:F92)</f>
        <v>#DIV/0!</v>
      </c>
      <c r="K92" s="21"/>
      <c r="L92" s="21"/>
      <c r="M92" s="21"/>
      <c r="N92" s="21"/>
      <c r="O92" s="21"/>
      <c r="P92" t="s">
        <v>54</v>
      </c>
    </row>
    <row r="93" spans="1:17">
      <c r="A93" s="19" t="s">
        <v>28</v>
      </c>
      <c r="B93" s="18"/>
      <c r="C93" s="18"/>
      <c r="D93" s="18"/>
      <c r="E93" s="18"/>
      <c r="F93" s="18"/>
      <c r="G93" s="19"/>
      <c r="H93" s="19"/>
      <c r="I93" s="19"/>
      <c r="J93" s="19"/>
      <c r="K93" s="18"/>
      <c r="L93" s="18"/>
      <c r="M93" s="18"/>
      <c r="N93" s="18"/>
      <c r="O93" s="18"/>
    </row>
    <row r="94" spans="1:17">
      <c r="A94" s="7" t="s">
        <v>25</v>
      </c>
      <c r="B94" s="8"/>
      <c r="C94" s="8"/>
      <c r="D94" s="8"/>
      <c r="E94" s="8"/>
      <c r="F94" s="8"/>
      <c r="G94" s="20">
        <f>MIN(B94:F94)</f>
        <v>0</v>
      </c>
      <c r="H94" s="20">
        <f>MAX(B94:F94)</f>
        <v>0</v>
      </c>
      <c r="I94" s="20" t="e">
        <f>AVERAGE(B94:F94)</f>
        <v>#DIV/0!</v>
      </c>
      <c r="J94" s="20" t="e">
        <f>_xlfn.STDEV.S(B94:F94)</f>
        <v>#DIV/0!</v>
      </c>
      <c r="K94" s="21"/>
      <c r="L94" s="21"/>
      <c r="M94" s="21"/>
      <c r="N94" s="21"/>
      <c r="O94" s="21"/>
      <c r="P94" t="s">
        <v>37</v>
      </c>
    </row>
    <row r="95" spans="1:17">
      <c r="A95" s="7" t="s">
        <v>26</v>
      </c>
      <c r="B95" s="8"/>
      <c r="C95" s="8"/>
      <c r="D95" s="8"/>
      <c r="E95" s="8"/>
      <c r="F95" s="8"/>
      <c r="G95" s="20">
        <f>MIN(B95:F95)</f>
        <v>0</v>
      </c>
      <c r="H95" s="20">
        <f>MAX(B95:F95)</f>
        <v>0</v>
      </c>
      <c r="I95" s="20" t="e">
        <f>AVERAGE(B95:F95)</f>
        <v>#DIV/0!</v>
      </c>
      <c r="J95" s="20" t="e">
        <f>_xlfn.STDEV.S(B95:F95)</f>
        <v>#DIV/0!</v>
      </c>
      <c r="K95" s="21"/>
      <c r="L95" s="21"/>
      <c r="M95" s="21"/>
      <c r="N95" s="21"/>
      <c r="O95" s="21"/>
      <c r="P95" t="s">
        <v>54</v>
      </c>
    </row>
  </sheetData>
  <mergeCells count="1">
    <mergeCell ref="K30:O30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4B6A-EA3A-4C4A-ACFE-115D78732686}">
  <dimension ref="A1:U67"/>
  <sheetViews>
    <sheetView topLeftCell="A18" workbookViewId="0">
      <selection activeCell="D54" sqref="D54"/>
    </sheetView>
  </sheetViews>
  <sheetFormatPr defaultRowHeight="15"/>
  <cols>
    <col min="1" max="1" width="20.7109375" customWidth="1"/>
    <col min="2" max="9" width="10.7109375" customWidth="1"/>
    <col min="10" max="10" width="19.85546875" customWidth="1"/>
    <col min="11" max="11" width="17.7109375" customWidth="1"/>
    <col min="12" max="15" width="15.7109375" customWidth="1"/>
    <col min="16" max="17" width="10.7109375" customWidth="1"/>
  </cols>
  <sheetData>
    <row r="1" spans="1:21">
      <c r="A1" s="2" t="s">
        <v>1</v>
      </c>
      <c r="B1" s="1" t="s">
        <v>63</v>
      </c>
      <c r="C1" t="s">
        <v>64</v>
      </c>
      <c r="D1" t="s">
        <v>65</v>
      </c>
    </row>
    <row r="2" spans="1:21">
      <c r="A2" s="55" t="s">
        <v>66</v>
      </c>
      <c r="B2" s="1"/>
      <c r="D2" s="2" t="s">
        <v>67</v>
      </c>
      <c r="E2" s="2"/>
      <c r="F2" s="2"/>
      <c r="G2" s="2"/>
      <c r="H2" s="2"/>
      <c r="I2" s="2"/>
      <c r="L2" s="2"/>
    </row>
    <row r="3" spans="1:21" ht="15.75">
      <c r="A3" s="57" t="s">
        <v>68</v>
      </c>
      <c r="D3" s="2" t="s">
        <v>69</v>
      </c>
      <c r="E3" s="2"/>
      <c r="F3" s="2"/>
      <c r="G3" s="2"/>
      <c r="H3" s="2"/>
      <c r="I3" s="2"/>
      <c r="K3" s="24"/>
      <c r="L3" s="24"/>
      <c r="M3" s="25" t="s">
        <v>7</v>
      </c>
      <c r="N3" s="24"/>
      <c r="O3" s="24"/>
    </row>
    <row r="4" spans="1:21" ht="18.7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10"/>
      <c r="Q4" s="10"/>
      <c r="R4" s="11"/>
      <c r="S4" s="11"/>
      <c r="T4" s="11"/>
      <c r="U4" s="11"/>
    </row>
    <row r="5" spans="1:21">
      <c r="A5" s="5" t="s">
        <v>70</v>
      </c>
      <c r="B5" s="5"/>
      <c r="C5" s="5"/>
      <c r="D5" s="5"/>
      <c r="E5" s="5"/>
      <c r="F5" s="5"/>
      <c r="G5" s="6"/>
      <c r="H5" s="6"/>
      <c r="I5" s="6"/>
      <c r="J5" s="6"/>
      <c r="K5" s="104"/>
      <c r="L5" s="104"/>
      <c r="M5" s="104"/>
      <c r="N5" s="104"/>
      <c r="O5" s="104"/>
      <c r="P5" s="12"/>
      <c r="Q5" s="12"/>
      <c r="R5" s="13"/>
      <c r="S5" s="13"/>
      <c r="T5" s="13"/>
      <c r="U5" s="13"/>
    </row>
    <row r="6" spans="1:21">
      <c r="A6" s="7" t="s">
        <v>25</v>
      </c>
      <c r="B6" s="8">
        <v>150.22999999999999</v>
      </c>
      <c r="C6" s="8">
        <v>149.66</v>
      </c>
      <c r="D6" s="8">
        <v>148.18</v>
      </c>
      <c r="E6" s="8">
        <v>160.27000000000001</v>
      </c>
      <c r="F6" s="8">
        <v>148.37</v>
      </c>
      <c r="G6" s="9">
        <f>MIN(B6:F6)</f>
        <v>148.18</v>
      </c>
      <c r="H6" s="9">
        <f>MAX(B6:F6)</f>
        <v>160.27000000000001</v>
      </c>
      <c r="I6" s="9">
        <f>AVERAGE(B6:F6)</f>
        <v>151.34200000000001</v>
      </c>
      <c r="J6" s="9">
        <f>_xlfn.STDEV.S(B6:F6)</f>
        <v>5.0647280282360709</v>
      </c>
      <c r="K6" s="17">
        <v>107554.4</v>
      </c>
      <c r="L6" s="21">
        <v>0.2</v>
      </c>
      <c r="M6" s="17">
        <v>25993</v>
      </c>
      <c r="N6" s="17">
        <v>1.2</v>
      </c>
      <c r="O6" s="17">
        <v>397</v>
      </c>
      <c r="P6" s="14"/>
      <c r="Q6" s="14"/>
      <c r="R6" s="15"/>
      <c r="S6" s="15"/>
      <c r="T6" s="15"/>
      <c r="U6" s="15"/>
    </row>
    <row r="7" spans="1:21">
      <c r="A7" s="7" t="s">
        <v>26</v>
      </c>
      <c r="B7" s="8">
        <v>157.21</v>
      </c>
      <c r="C7" s="8">
        <v>140.56</v>
      </c>
      <c r="D7" s="8">
        <v>141.19999999999999</v>
      </c>
      <c r="E7" s="8">
        <v>145.13999999999999</v>
      </c>
      <c r="F7" s="8">
        <v>123.37</v>
      </c>
      <c r="G7" s="9">
        <f>MIN(B7:F7)</f>
        <v>123.37</v>
      </c>
      <c r="H7" s="9">
        <f>MAX(B7:F7)</f>
        <v>157.21</v>
      </c>
      <c r="I7" s="9">
        <f>AVERAGE(B7:F7)</f>
        <v>141.49599999999998</v>
      </c>
      <c r="J7" s="9">
        <f>_xlfn.STDEV.S(B7:F7)</f>
        <v>12.142118019521966</v>
      </c>
      <c r="K7" s="17">
        <v>111514.4</v>
      </c>
      <c r="L7" s="21">
        <v>0.2</v>
      </c>
      <c r="M7" s="17">
        <v>27138.6</v>
      </c>
      <c r="N7" s="17">
        <v>0.8</v>
      </c>
      <c r="O7" s="17">
        <v>343.8</v>
      </c>
      <c r="P7" s="14"/>
      <c r="Q7" s="14"/>
      <c r="R7" s="15"/>
      <c r="S7" s="15"/>
      <c r="T7" s="15"/>
      <c r="U7" s="15"/>
    </row>
    <row r="8" spans="1:21">
      <c r="A8" s="5" t="s">
        <v>71</v>
      </c>
      <c r="B8" s="5"/>
      <c r="C8" s="5"/>
      <c r="D8" s="5"/>
      <c r="E8" s="5"/>
      <c r="F8" s="5"/>
      <c r="G8" s="6"/>
      <c r="H8" s="6"/>
      <c r="I8" s="6"/>
      <c r="J8" s="6"/>
      <c r="K8" s="104"/>
      <c r="L8" s="18"/>
      <c r="M8" s="104"/>
      <c r="N8" s="104"/>
      <c r="O8" s="104"/>
      <c r="P8" s="12"/>
      <c r="Q8" s="12"/>
      <c r="R8" s="13"/>
      <c r="S8" s="13"/>
      <c r="T8" s="13"/>
      <c r="U8" s="13"/>
    </row>
    <row r="9" spans="1:21">
      <c r="A9" s="7" t="s">
        <v>25</v>
      </c>
      <c r="B9" s="54">
        <v>5244.46</v>
      </c>
      <c r="C9" s="54">
        <v>5103.97</v>
      </c>
      <c r="D9" s="54">
        <v>5145.67</v>
      </c>
      <c r="E9" s="54">
        <v>5245.92</v>
      </c>
      <c r="F9" s="54">
        <v>5096.3999999999996</v>
      </c>
      <c r="G9" s="9">
        <f>MIN(B9:F9)</f>
        <v>5096.3999999999996</v>
      </c>
      <c r="H9" s="9">
        <f>MAX(B9:F9)</f>
        <v>5245.92</v>
      </c>
      <c r="I9" s="9">
        <f>AVERAGE(B9:F9)</f>
        <v>5167.2839999999997</v>
      </c>
      <c r="J9" s="9">
        <f>_xlfn.STDEV.S(B9:F9)</f>
        <v>73.552913810399161</v>
      </c>
      <c r="K9" s="17"/>
      <c r="L9" s="21"/>
      <c r="M9" s="17"/>
      <c r="N9" s="17"/>
      <c r="O9" s="17"/>
      <c r="P9" s="14"/>
      <c r="Q9" s="14"/>
      <c r="R9" s="15"/>
      <c r="S9" s="15"/>
      <c r="T9" s="15"/>
      <c r="U9" s="15"/>
    </row>
    <row r="10" spans="1:21">
      <c r="A10" s="7" t="s">
        <v>26</v>
      </c>
      <c r="B10" s="54">
        <v>6634.68</v>
      </c>
      <c r="C10" s="54">
        <v>6703.33</v>
      </c>
      <c r="D10" s="54">
        <v>6694.83</v>
      </c>
      <c r="E10" s="54">
        <v>6678.8</v>
      </c>
      <c r="F10" s="54">
        <v>6732.19</v>
      </c>
      <c r="G10" s="9">
        <f>MIN(B10:F10)</f>
        <v>6634.68</v>
      </c>
      <c r="H10" s="9">
        <f>MAX(B10:F10)</f>
        <v>6732.19</v>
      </c>
      <c r="I10" s="9">
        <f>AVERAGE(B10:F10)</f>
        <v>6688.7660000000005</v>
      </c>
      <c r="J10" s="9">
        <f>_xlfn.STDEV.S(B10:F10)</f>
        <v>35.913585590970747</v>
      </c>
      <c r="K10" s="17"/>
      <c r="L10" s="21"/>
      <c r="M10" s="17"/>
      <c r="N10" s="17"/>
      <c r="O10" s="17"/>
      <c r="P10" s="14"/>
      <c r="Q10" s="14"/>
      <c r="R10" s="15"/>
      <c r="S10" s="15"/>
      <c r="T10" s="15"/>
      <c r="U10" s="15"/>
    </row>
    <row r="11" spans="1:21">
      <c r="A11" s="5" t="s">
        <v>28</v>
      </c>
      <c r="B11" s="5"/>
      <c r="C11" s="5"/>
      <c r="D11" s="5"/>
      <c r="E11" s="5"/>
      <c r="F11" s="5"/>
      <c r="G11" s="6"/>
      <c r="H11" s="6"/>
      <c r="I11" s="6"/>
      <c r="J11" s="6"/>
      <c r="K11" s="104"/>
      <c r="L11" s="104"/>
      <c r="M11" s="104"/>
      <c r="N11" s="104"/>
      <c r="O11" s="104"/>
      <c r="P11" s="12"/>
      <c r="Q11" s="12"/>
      <c r="R11" s="13"/>
      <c r="S11" s="13"/>
      <c r="T11" s="13"/>
      <c r="U11" s="13"/>
    </row>
    <row r="12" spans="1:21">
      <c r="A12" s="7" t="s">
        <v>25</v>
      </c>
      <c r="B12" s="8"/>
      <c r="C12" s="8"/>
      <c r="D12" s="8"/>
      <c r="E12" s="8"/>
      <c r="F12" s="8"/>
      <c r="G12" s="9">
        <f>MIN(B12:F12)</f>
        <v>0</v>
      </c>
      <c r="H12" s="9">
        <f>MAX(B12:F12)</f>
        <v>0</v>
      </c>
      <c r="I12" s="9" t="e">
        <f>AVERAGE(B12:F12)</f>
        <v>#DIV/0!</v>
      </c>
      <c r="J12" s="9" t="e">
        <f>_xlfn.STDEV.S(B12:F12)</f>
        <v>#DIV/0!</v>
      </c>
      <c r="K12" s="17"/>
      <c r="L12" s="17"/>
      <c r="M12" s="17"/>
      <c r="N12" s="17"/>
      <c r="O12" s="17"/>
      <c r="P12" s="14"/>
      <c r="Q12" s="14"/>
      <c r="R12" s="15"/>
      <c r="S12" s="15"/>
      <c r="T12" s="15"/>
      <c r="U12" s="15"/>
    </row>
    <row r="13" spans="1:21">
      <c r="A13" s="7" t="s">
        <v>26</v>
      </c>
      <c r="B13" s="8"/>
      <c r="C13" s="8"/>
      <c r="D13" s="8"/>
      <c r="E13" s="8"/>
      <c r="F13" s="8"/>
      <c r="G13" s="9">
        <f>MIN(B13:F13)</f>
        <v>0</v>
      </c>
      <c r="H13" s="9">
        <f>MAX(B13:F13)</f>
        <v>0</v>
      </c>
      <c r="I13" s="9" t="e">
        <f>AVERAGE(B13:F13)</f>
        <v>#DIV/0!</v>
      </c>
      <c r="J13" s="9" t="e">
        <f>_xlfn.STDEV.S(B13:F13)</f>
        <v>#DIV/0!</v>
      </c>
      <c r="K13" s="17"/>
      <c r="L13" s="17"/>
      <c r="M13" s="17"/>
      <c r="N13" s="17"/>
      <c r="O13" s="17"/>
      <c r="P13" s="14"/>
      <c r="Q13" s="14"/>
      <c r="R13" s="15"/>
      <c r="S13" s="15"/>
      <c r="T13" s="15"/>
      <c r="U13" s="15"/>
    </row>
    <row r="15" spans="1:21">
      <c r="A15" s="2" t="s">
        <v>29</v>
      </c>
      <c r="L15" s="2"/>
    </row>
    <row r="16" spans="1:21" ht="15.75">
      <c r="K16" s="26"/>
      <c r="L16" s="26"/>
      <c r="M16" s="27" t="s">
        <v>7</v>
      </c>
      <c r="N16" s="26"/>
      <c r="O16" s="26"/>
    </row>
    <row r="17" spans="1:15" ht="18.75">
      <c r="A17" s="3" t="s">
        <v>30</v>
      </c>
      <c r="B17" s="4" t="s">
        <v>9</v>
      </c>
      <c r="C17" s="4" t="s">
        <v>10</v>
      </c>
      <c r="D17" s="4" t="s">
        <v>11</v>
      </c>
      <c r="E17" s="4" t="s">
        <v>12</v>
      </c>
      <c r="F17" s="4" t="s">
        <v>13</v>
      </c>
      <c r="G17" s="4" t="s">
        <v>14</v>
      </c>
      <c r="H17" s="4" t="s">
        <v>15</v>
      </c>
      <c r="I17" s="4" t="s">
        <v>16</v>
      </c>
      <c r="J17" s="4" t="s">
        <v>17</v>
      </c>
      <c r="K17" s="4" t="s">
        <v>18</v>
      </c>
      <c r="L17" s="4" t="s">
        <v>19</v>
      </c>
      <c r="M17" s="4" t="s">
        <v>20</v>
      </c>
      <c r="N17" s="4" t="s">
        <v>21</v>
      </c>
      <c r="O17" s="4" t="s">
        <v>22</v>
      </c>
    </row>
    <row r="18" spans="1:15">
      <c r="A18" s="18" t="s">
        <v>72</v>
      </c>
      <c r="B18" s="18"/>
      <c r="C18" s="18"/>
      <c r="D18" s="18"/>
      <c r="E18" s="18"/>
      <c r="F18" s="18"/>
      <c r="G18" s="19"/>
      <c r="H18" s="19"/>
      <c r="I18" s="19"/>
      <c r="J18" s="19"/>
      <c r="K18" s="18"/>
      <c r="L18" s="18"/>
      <c r="M18" s="18"/>
      <c r="N18" s="18"/>
      <c r="O18" s="18"/>
    </row>
    <row r="19" spans="1:15">
      <c r="A19" s="7" t="s">
        <v>25</v>
      </c>
      <c r="B19" s="56">
        <v>146.55000000000001</v>
      </c>
      <c r="C19" s="56">
        <v>135.09</v>
      </c>
      <c r="D19" s="56">
        <v>137.94999999999999</v>
      </c>
      <c r="E19" s="56">
        <v>142.30000000000001</v>
      </c>
      <c r="F19" s="56">
        <v>153.12</v>
      </c>
      <c r="G19" s="20">
        <f>MIN(B19:F19)</f>
        <v>135.09</v>
      </c>
      <c r="H19" s="20">
        <f>MAX(B19:F19)</f>
        <v>153.12</v>
      </c>
      <c r="I19" s="20">
        <f>AVERAGE(B19:F19)</f>
        <v>143.00200000000001</v>
      </c>
      <c r="J19" s="20">
        <f>_xlfn.STDEV.S(B19:F19)</f>
        <v>7.1340290159208104</v>
      </c>
      <c r="K19" s="21">
        <v>106695.2</v>
      </c>
      <c r="L19" s="21">
        <v>0.4</v>
      </c>
      <c r="M19" s="21">
        <v>25895.8</v>
      </c>
      <c r="N19" s="21">
        <v>1.4</v>
      </c>
      <c r="O19" s="21">
        <v>253</v>
      </c>
    </row>
    <row r="20" spans="1:15">
      <c r="A20" s="7" t="s">
        <v>26</v>
      </c>
      <c r="B20" s="56">
        <v>118.67</v>
      </c>
      <c r="C20" s="56">
        <v>113.46</v>
      </c>
      <c r="D20" s="56">
        <v>117.99</v>
      </c>
      <c r="E20" s="56">
        <v>102.85</v>
      </c>
      <c r="F20" s="56">
        <v>101.97</v>
      </c>
      <c r="G20" s="20">
        <f>MIN(B20:F20)</f>
        <v>101.97</v>
      </c>
      <c r="H20" s="20">
        <f>MAX(B20:F20)</f>
        <v>118.67</v>
      </c>
      <c r="I20" s="20">
        <f>AVERAGE(B20:F20)</f>
        <v>110.98800000000001</v>
      </c>
      <c r="J20" s="20">
        <f>_xlfn.STDEV.S(B20:F20)</f>
        <v>8.0886228741362398</v>
      </c>
      <c r="K20" s="21">
        <v>111144</v>
      </c>
      <c r="L20" s="21">
        <v>0.2</v>
      </c>
      <c r="M20" s="21">
        <v>27040.2</v>
      </c>
      <c r="N20" s="21">
        <v>1.2</v>
      </c>
      <c r="O20" s="21">
        <v>215.4</v>
      </c>
    </row>
    <row r="21" spans="1:15">
      <c r="A21" s="18" t="s">
        <v>73</v>
      </c>
      <c r="B21" s="18"/>
      <c r="C21" s="18"/>
      <c r="D21" s="18"/>
      <c r="E21" s="18"/>
      <c r="F21" s="18"/>
      <c r="G21" s="19"/>
      <c r="H21" s="19"/>
      <c r="I21" s="19"/>
      <c r="J21" s="19"/>
      <c r="K21" s="18"/>
      <c r="L21" s="18"/>
      <c r="M21" s="18"/>
      <c r="N21" s="18"/>
      <c r="O21" s="18"/>
    </row>
    <row r="22" spans="1:15">
      <c r="A22" s="7" t="s">
        <v>25</v>
      </c>
      <c r="B22" s="54">
        <v>8133.75</v>
      </c>
      <c r="C22" s="54">
        <v>8221.3799999999992</v>
      </c>
      <c r="D22" s="54">
        <v>8120.07</v>
      </c>
      <c r="E22" s="54">
        <v>8076.41</v>
      </c>
      <c r="F22" s="54">
        <v>8132.71</v>
      </c>
      <c r="G22" s="20">
        <f>MIN(B22:F22)</f>
        <v>8076.41</v>
      </c>
      <c r="H22" s="20">
        <f>MAX(B22:F22)</f>
        <v>8221.3799999999992</v>
      </c>
      <c r="I22" s="20">
        <f>AVERAGE(B22:F22)</f>
        <v>8136.8639999999996</v>
      </c>
      <c r="J22" s="20">
        <f>_xlfn.STDEV.S(B22:F22)</f>
        <v>52.694002315253798</v>
      </c>
      <c r="K22" s="21">
        <v>1298391.2</v>
      </c>
      <c r="L22" s="21">
        <v>0</v>
      </c>
      <c r="M22" s="21">
        <v>323869.40000000002</v>
      </c>
      <c r="N22" s="21">
        <v>0.6</v>
      </c>
      <c r="O22" s="21">
        <v>13454</v>
      </c>
    </row>
    <row r="23" spans="1:15">
      <c r="A23" s="7" t="s">
        <v>26</v>
      </c>
      <c r="B23" s="54">
        <v>6569.37</v>
      </c>
      <c r="C23" s="54">
        <v>6461.74</v>
      </c>
      <c r="D23" s="54">
        <v>6550.68</v>
      </c>
      <c r="E23" s="54">
        <v>6522.44</v>
      </c>
      <c r="F23" s="54">
        <v>6628.41</v>
      </c>
      <c r="G23" s="20">
        <f>MIN(B23:F23)</f>
        <v>6461.74</v>
      </c>
      <c r="H23" s="20">
        <f>MAX(B23:F23)</f>
        <v>6628.41</v>
      </c>
      <c r="I23" s="20">
        <f>AVERAGE(B23:F23)</f>
        <v>6546.5280000000002</v>
      </c>
      <c r="J23" s="20">
        <f>_xlfn.STDEV.S(B23:F23)</f>
        <v>61.263559070625398</v>
      </c>
      <c r="K23" s="21">
        <v>1314603.2</v>
      </c>
      <c r="L23" s="21">
        <v>0</v>
      </c>
      <c r="M23" s="21">
        <v>327912.2</v>
      </c>
      <c r="N23" s="21">
        <v>0.2</v>
      </c>
      <c r="O23" s="21">
        <v>10928.2</v>
      </c>
    </row>
    <row r="24" spans="1:15">
      <c r="A24" s="18" t="s">
        <v>28</v>
      </c>
      <c r="B24" s="18"/>
      <c r="C24" s="18"/>
      <c r="D24" s="18"/>
      <c r="E24" s="18"/>
      <c r="F24" s="18"/>
      <c r="G24" s="19"/>
      <c r="H24" s="19"/>
      <c r="I24" s="19"/>
      <c r="J24" s="19"/>
      <c r="K24" s="18"/>
      <c r="L24" s="18"/>
      <c r="M24" s="18"/>
      <c r="N24" s="18"/>
      <c r="O24" s="18"/>
    </row>
    <row r="25" spans="1:15">
      <c r="A25" s="7" t="s">
        <v>25</v>
      </c>
      <c r="B25" s="8"/>
      <c r="C25" s="8"/>
      <c r="D25" s="8"/>
      <c r="E25" s="8"/>
      <c r="F25" s="8"/>
      <c r="G25" s="20">
        <f>MIN(B25:F25)</f>
        <v>0</v>
      </c>
      <c r="H25" s="20">
        <f>MAX(B25:F25)</f>
        <v>0</v>
      </c>
      <c r="I25" s="20" t="e">
        <f>AVERAGE(B25:F25)</f>
        <v>#DIV/0!</v>
      </c>
      <c r="J25" s="20" t="e">
        <f>_xlfn.STDEV.S(B25:F25)</f>
        <v>#DIV/0!</v>
      </c>
      <c r="K25" s="21"/>
      <c r="L25" s="21"/>
      <c r="M25" s="21"/>
      <c r="N25" s="21"/>
      <c r="O25" s="21"/>
    </row>
    <row r="26" spans="1:15">
      <c r="A26" s="7" t="s">
        <v>26</v>
      </c>
      <c r="B26" s="8"/>
      <c r="C26" s="8"/>
      <c r="D26" s="8"/>
      <c r="E26" s="8"/>
      <c r="F26" s="8"/>
      <c r="G26" s="20">
        <f>MIN(B26:F26)</f>
        <v>0</v>
      </c>
      <c r="H26" s="20">
        <f>MAX(B26:F26)</f>
        <v>0</v>
      </c>
      <c r="I26" s="20" t="e">
        <f>AVERAGE(B26:F26)</f>
        <v>#DIV/0!</v>
      </c>
      <c r="J26" s="20" t="e">
        <f>_xlfn.STDEV.S(B26:F26)</f>
        <v>#DIV/0!</v>
      </c>
      <c r="K26" s="21"/>
      <c r="L26" s="21"/>
      <c r="M26" s="21"/>
      <c r="N26" s="21"/>
      <c r="O26" s="21"/>
    </row>
    <row r="28" spans="1:15">
      <c r="A28" s="2" t="s">
        <v>29</v>
      </c>
    </row>
    <row r="29" spans="1:15" ht="15.75">
      <c r="K29" s="26"/>
      <c r="L29" s="26"/>
      <c r="M29" s="27" t="s">
        <v>7</v>
      </c>
      <c r="N29" s="26"/>
      <c r="O29" s="26"/>
    </row>
    <row r="30" spans="1:15" ht="18.75">
      <c r="A30" s="3" t="s">
        <v>31</v>
      </c>
      <c r="B30" s="4" t="s">
        <v>9</v>
      </c>
      <c r="C30" s="4" t="s">
        <v>10</v>
      </c>
      <c r="D30" s="4" t="s">
        <v>11</v>
      </c>
      <c r="E30" s="4" t="s">
        <v>12</v>
      </c>
      <c r="F30" s="4" t="s">
        <v>13</v>
      </c>
      <c r="G30" s="4" t="s">
        <v>14</v>
      </c>
      <c r="H30" s="4" t="s">
        <v>15</v>
      </c>
      <c r="I30" s="4" t="s">
        <v>16</v>
      </c>
      <c r="J30" s="4" t="s">
        <v>17</v>
      </c>
      <c r="K30" s="4" t="s">
        <v>18</v>
      </c>
      <c r="L30" s="4" t="s">
        <v>19</v>
      </c>
      <c r="M30" s="4" t="s">
        <v>20</v>
      </c>
      <c r="N30" s="4" t="s">
        <v>21</v>
      </c>
      <c r="O30" s="4" t="s">
        <v>22</v>
      </c>
    </row>
    <row r="31" spans="1:15">
      <c r="A31" s="18" t="s">
        <v>74</v>
      </c>
      <c r="B31" s="18"/>
      <c r="C31" s="18"/>
      <c r="D31" s="18"/>
      <c r="E31" s="18"/>
      <c r="F31" s="18"/>
      <c r="G31" s="19"/>
      <c r="H31" s="19"/>
      <c r="I31" s="19"/>
      <c r="J31" s="19"/>
      <c r="K31" s="18"/>
      <c r="L31" s="18"/>
      <c r="M31" s="18"/>
      <c r="N31" s="18"/>
      <c r="O31" s="18"/>
    </row>
    <row r="32" spans="1:15">
      <c r="A32" s="7" t="s">
        <v>25</v>
      </c>
      <c r="B32" s="56">
        <v>121.86</v>
      </c>
      <c r="C32" s="56">
        <v>168.23</v>
      </c>
      <c r="D32" s="56">
        <v>137.11000000000001</v>
      </c>
      <c r="E32" s="56">
        <v>119.73</v>
      </c>
      <c r="F32" s="56">
        <v>120.43</v>
      </c>
      <c r="G32" s="20">
        <f>MIN(B32:F32)</f>
        <v>119.73</v>
      </c>
      <c r="H32" s="20">
        <f>MAX(B32:F32)</f>
        <v>168.23</v>
      </c>
      <c r="I32" s="20">
        <f>AVERAGE(B32:F32)</f>
        <v>133.47199999999998</v>
      </c>
      <c r="J32" s="20">
        <f>_xlfn.STDEV.S(B32:F32)</f>
        <v>20.707054836456273</v>
      </c>
      <c r="K32" s="21">
        <v>165334.39999999999</v>
      </c>
      <c r="L32" s="21">
        <v>0</v>
      </c>
      <c r="M32" s="21">
        <v>40530.6</v>
      </c>
      <c r="N32" s="21">
        <v>0.6</v>
      </c>
      <c r="O32" s="21">
        <v>280.2</v>
      </c>
    </row>
    <row r="33" spans="1:15">
      <c r="A33" s="7" t="s">
        <v>26</v>
      </c>
      <c r="B33" s="56">
        <v>234.84</v>
      </c>
      <c r="C33" s="56">
        <v>230.49</v>
      </c>
      <c r="D33" s="56">
        <v>232.11</v>
      </c>
      <c r="E33" s="56">
        <v>250.34</v>
      </c>
      <c r="F33" s="56">
        <v>246.95</v>
      </c>
      <c r="G33" s="20">
        <f>MIN(B33:F33)</f>
        <v>230.49</v>
      </c>
      <c r="H33" s="20">
        <f>MAX(B33:F33)</f>
        <v>250.34</v>
      </c>
      <c r="I33" s="20">
        <f>AVERAGE(B33:F33)</f>
        <v>238.946</v>
      </c>
      <c r="J33" s="20">
        <f>_xlfn.STDEV.S(B33:F33)</f>
        <v>9.0689211045195375</v>
      </c>
      <c r="K33" s="21">
        <v>174042.4</v>
      </c>
      <c r="L33" s="21">
        <v>0</v>
      </c>
      <c r="M33" s="21">
        <v>42750.2</v>
      </c>
      <c r="N33" s="21">
        <v>0.6</v>
      </c>
      <c r="O33" s="21">
        <v>384</v>
      </c>
    </row>
    <row r="34" spans="1:15">
      <c r="A34" s="18" t="s">
        <v>75</v>
      </c>
      <c r="B34" s="18"/>
      <c r="C34" s="18"/>
      <c r="D34" s="18"/>
      <c r="E34" s="18"/>
      <c r="F34" s="18"/>
      <c r="G34" s="19"/>
      <c r="H34" s="19"/>
      <c r="I34" s="19"/>
      <c r="J34" s="19"/>
      <c r="K34" s="18"/>
      <c r="L34" s="18"/>
      <c r="M34" s="18"/>
      <c r="N34" s="18"/>
      <c r="O34" s="18"/>
    </row>
    <row r="35" spans="1:15">
      <c r="A35" s="7" t="s">
        <v>25</v>
      </c>
      <c r="B35" s="56">
        <v>607.69000000000005</v>
      </c>
      <c r="C35" s="56">
        <v>602.16999999999996</v>
      </c>
      <c r="D35" s="56">
        <v>600.77</v>
      </c>
      <c r="E35" s="56">
        <v>602.12</v>
      </c>
      <c r="F35" s="56">
        <v>606.33000000000004</v>
      </c>
      <c r="G35" s="20">
        <f>MIN(B35:F35)</f>
        <v>600.77</v>
      </c>
      <c r="H35" s="20">
        <f>MAX(B35:F35)</f>
        <v>607.69000000000005</v>
      </c>
      <c r="I35" s="20">
        <f>AVERAGE(B35:F35)</f>
        <v>603.81600000000003</v>
      </c>
      <c r="J35" s="20">
        <f>_xlfn.STDEV.S(B35:F35)</f>
        <v>3.0079860372016713</v>
      </c>
      <c r="K35" s="21">
        <v>205079.2</v>
      </c>
      <c r="L35" s="21">
        <v>0.4</v>
      </c>
      <c r="M35" s="21">
        <v>81074.399999999994</v>
      </c>
      <c r="N35" s="21">
        <v>1.4</v>
      </c>
      <c r="O35" s="21">
        <v>1219.4000000000001</v>
      </c>
    </row>
    <row r="36" spans="1:15">
      <c r="A36" s="7" t="s">
        <v>26</v>
      </c>
      <c r="B36" s="56">
        <v>2783.62</v>
      </c>
      <c r="C36" s="56">
        <v>2825.14</v>
      </c>
      <c r="D36" s="56">
        <v>2847.76</v>
      </c>
      <c r="E36" s="56">
        <v>2831.96</v>
      </c>
      <c r="F36" s="56">
        <v>2837.12</v>
      </c>
      <c r="G36" s="20">
        <f>MIN(B36:F36)</f>
        <v>2783.62</v>
      </c>
      <c r="H36" s="20">
        <f>MAX(B36:F36)</f>
        <v>2847.76</v>
      </c>
      <c r="I36" s="20">
        <f>AVERAGE(B36:F36)</f>
        <v>2825.12</v>
      </c>
      <c r="J36" s="20">
        <f>_xlfn.STDEV.S(B36:F36)</f>
        <v>24.625218780754093</v>
      </c>
      <c r="K36" s="21">
        <v>216551.2</v>
      </c>
      <c r="L36" s="21">
        <v>0.2</v>
      </c>
      <c r="M36" s="21">
        <v>53379.199999999997</v>
      </c>
      <c r="N36" s="21">
        <v>1</v>
      </c>
      <c r="O36" s="21">
        <v>4560.3999999999996</v>
      </c>
    </row>
    <row r="37" spans="1:15">
      <c r="A37" s="18" t="s">
        <v>28</v>
      </c>
      <c r="B37" s="18"/>
      <c r="C37" s="18"/>
      <c r="D37" s="18"/>
      <c r="E37" s="18"/>
      <c r="F37" s="18"/>
      <c r="G37" s="19"/>
      <c r="H37" s="19"/>
      <c r="I37" s="19"/>
      <c r="J37" s="19"/>
      <c r="K37" s="18"/>
      <c r="L37" s="18"/>
      <c r="M37" s="18"/>
      <c r="N37" s="18"/>
      <c r="O37" s="18"/>
    </row>
    <row r="38" spans="1:15">
      <c r="A38" s="7" t="s">
        <v>25</v>
      </c>
      <c r="B38" s="8"/>
      <c r="C38" s="8"/>
      <c r="D38" s="8"/>
      <c r="E38" s="8"/>
      <c r="F38" s="8"/>
      <c r="G38" s="20">
        <f>MIN(B38:F38)</f>
        <v>0</v>
      </c>
      <c r="H38" s="20">
        <f>MAX(B38:F38)</f>
        <v>0</v>
      </c>
      <c r="I38" s="20" t="e">
        <f>AVERAGE(B38:F38)</f>
        <v>#DIV/0!</v>
      </c>
      <c r="J38" s="20" t="e">
        <f>_xlfn.STDEV.S(B38:F38)</f>
        <v>#DIV/0!</v>
      </c>
      <c r="K38" s="21"/>
      <c r="L38" s="21"/>
      <c r="M38" s="21"/>
      <c r="N38" s="21"/>
      <c r="O38" s="21"/>
    </row>
    <row r="39" spans="1:15">
      <c r="A39" s="7" t="s">
        <v>26</v>
      </c>
      <c r="B39" s="8"/>
      <c r="C39" s="8"/>
      <c r="D39" s="8"/>
      <c r="E39" s="8"/>
      <c r="F39" s="8"/>
      <c r="G39" s="20">
        <f>MIN(B39:F39)</f>
        <v>0</v>
      </c>
      <c r="H39" s="20">
        <f>MAX(B39:F39)</f>
        <v>0</v>
      </c>
      <c r="I39" s="20" t="e">
        <f>AVERAGE(B39:F39)</f>
        <v>#DIV/0!</v>
      </c>
      <c r="J39" s="20" t="e">
        <f>_xlfn.STDEV.S(B39:F39)</f>
        <v>#DIV/0!</v>
      </c>
      <c r="K39" s="21"/>
      <c r="L39" s="21"/>
      <c r="M39" s="21"/>
      <c r="N39" s="21"/>
      <c r="O39" s="21"/>
    </row>
    <row r="41" spans="1:15">
      <c r="A41" s="2" t="s">
        <v>29</v>
      </c>
    </row>
    <row r="42" spans="1:15" ht="15.75">
      <c r="K42" s="26"/>
      <c r="L42" s="26"/>
      <c r="M42" s="27" t="s">
        <v>7</v>
      </c>
      <c r="N42" s="26"/>
      <c r="O42" s="26"/>
    </row>
    <row r="43" spans="1:15" ht="18.75">
      <c r="A43" s="3" t="s">
        <v>32</v>
      </c>
      <c r="B43" s="4" t="s">
        <v>9</v>
      </c>
      <c r="C43" s="4" t="s">
        <v>10</v>
      </c>
      <c r="D43" s="4" t="s">
        <v>11</v>
      </c>
      <c r="E43" s="4" t="s">
        <v>12</v>
      </c>
      <c r="F43" s="4" t="s">
        <v>13</v>
      </c>
      <c r="G43" s="4" t="s">
        <v>14</v>
      </c>
      <c r="H43" s="4" t="s">
        <v>15</v>
      </c>
      <c r="I43" s="4" t="s">
        <v>16</v>
      </c>
      <c r="J43" s="4" t="s">
        <v>17</v>
      </c>
      <c r="K43" s="4" t="s">
        <v>18</v>
      </c>
      <c r="L43" s="4" t="s">
        <v>19</v>
      </c>
      <c r="M43" s="4" t="s">
        <v>20</v>
      </c>
      <c r="N43" s="4" t="s">
        <v>21</v>
      </c>
      <c r="O43" s="4" t="s">
        <v>22</v>
      </c>
    </row>
    <row r="44" spans="1:15">
      <c r="A44" s="18" t="s">
        <v>24</v>
      </c>
      <c r="B44" s="18"/>
      <c r="C44" s="18"/>
      <c r="D44" s="18"/>
      <c r="E44" s="18"/>
      <c r="F44" s="18"/>
      <c r="G44" s="19"/>
      <c r="H44" s="19"/>
      <c r="I44" s="19"/>
      <c r="J44" s="19"/>
      <c r="K44" s="18"/>
      <c r="L44" s="18"/>
      <c r="M44" s="18"/>
      <c r="N44" s="18"/>
      <c r="O44" s="18"/>
    </row>
    <row r="45" spans="1:15">
      <c r="A45" s="7" t="s">
        <v>25</v>
      </c>
      <c r="B45" s="8"/>
      <c r="C45" s="8"/>
      <c r="D45" s="8"/>
      <c r="E45" s="8"/>
      <c r="F45" s="8"/>
      <c r="G45" s="20">
        <f>MIN(B45:F45)</f>
        <v>0</v>
      </c>
      <c r="H45" s="20">
        <f>MAX(B45:F45)</f>
        <v>0</v>
      </c>
      <c r="I45" s="20" t="e">
        <f>AVERAGE(B45:F45)</f>
        <v>#DIV/0!</v>
      </c>
      <c r="J45" s="20" t="e">
        <f>_xlfn.STDEV.S(B45:F45)</f>
        <v>#DIV/0!</v>
      </c>
      <c r="K45" s="21"/>
      <c r="L45" s="21"/>
      <c r="M45" s="21"/>
      <c r="N45" s="21"/>
      <c r="O45" s="21"/>
    </row>
    <row r="46" spans="1:15">
      <c r="A46" s="7" t="s">
        <v>26</v>
      </c>
      <c r="B46" s="8"/>
      <c r="C46" s="8"/>
      <c r="D46" s="8"/>
      <c r="E46" s="8"/>
      <c r="F46" s="8"/>
      <c r="G46" s="20">
        <f>MIN(B46:F46)</f>
        <v>0</v>
      </c>
      <c r="H46" s="20">
        <f>MAX(B46:F46)</f>
        <v>0</v>
      </c>
      <c r="I46" s="20" t="e">
        <f>AVERAGE(B46:F46)</f>
        <v>#DIV/0!</v>
      </c>
      <c r="J46" s="20" t="e">
        <f>_xlfn.STDEV.S(B46:F46)</f>
        <v>#DIV/0!</v>
      </c>
      <c r="K46" s="21"/>
      <c r="L46" s="21"/>
      <c r="M46" s="21"/>
      <c r="N46" s="21"/>
      <c r="O46" s="21"/>
    </row>
    <row r="47" spans="1:15">
      <c r="A47" s="18" t="s">
        <v>27</v>
      </c>
      <c r="B47" s="18"/>
      <c r="C47" s="18"/>
      <c r="D47" s="18"/>
      <c r="E47" s="18"/>
      <c r="F47" s="18"/>
      <c r="G47" s="19"/>
      <c r="H47" s="19"/>
      <c r="I47" s="19"/>
      <c r="J47" s="19"/>
      <c r="K47" s="18"/>
      <c r="L47" s="18"/>
      <c r="M47" s="18"/>
      <c r="N47" s="18"/>
      <c r="O47" s="18"/>
    </row>
    <row r="48" spans="1:15">
      <c r="A48" s="7" t="s">
        <v>25</v>
      </c>
      <c r="B48" s="8"/>
      <c r="C48" s="8"/>
      <c r="D48" s="8"/>
      <c r="E48" s="8"/>
      <c r="F48" s="8"/>
      <c r="G48" s="20">
        <f>MIN(B48:F48)</f>
        <v>0</v>
      </c>
      <c r="H48" s="20">
        <f>MAX(B48:F48)</f>
        <v>0</v>
      </c>
      <c r="I48" s="20" t="e">
        <f>AVERAGE(B48:F48)</f>
        <v>#DIV/0!</v>
      </c>
      <c r="J48" s="20" t="e">
        <f>_xlfn.STDEV.S(B48:F48)</f>
        <v>#DIV/0!</v>
      </c>
      <c r="K48" s="21"/>
      <c r="L48" s="21"/>
      <c r="M48" s="21"/>
      <c r="N48" s="21"/>
      <c r="O48" s="21"/>
    </row>
    <row r="49" spans="1:17">
      <c r="A49" s="7" t="s">
        <v>26</v>
      </c>
      <c r="B49" s="8"/>
      <c r="C49" s="8"/>
      <c r="D49" s="8"/>
      <c r="E49" s="8"/>
      <c r="F49" s="8"/>
      <c r="G49" s="20">
        <f>MIN(B49:F49)</f>
        <v>0</v>
      </c>
      <c r="H49" s="20">
        <f>MAX(B49:F49)</f>
        <v>0</v>
      </c>
      <c r="I49" s="20" t="e">
        <f>AVERAGE(B49:F49)</f>
        <v>#DIV/0!</v>
      </c>
      <c r="J49" s="20" t="e">
        <f>_xlfn.STDEV.S(B49:F49)</f>
        <v>#DIV/0!</v>
      </c>
      <c r="K49" s="21"/>
      <c r="L49" s="21"/>
      <c r="M49" s="21"/>
      <c r="N49" s="21"/>
      <c r="O49" s="21"/>
    </row>
    <row r="50" spans="1:17">
      <c r="A50" s="18" t="s">
        <v>28</v>
      </c>
      <c r="B50" s="18"/>
      <c r="C50" s="18"/>
      <c r="D50" s="18"/>
      <c r="E50" s="18"/>
      <c r="F50" s="18"/>
      <c r="G50" s="19"/>
      <c r="H50" s="19"/>
      <c r="I50" s="19"/>
      <c r="J50" s="19"/>
      <c r="K50" s="18"/>
      <c r="L50" s="18"/>
      <c r="M50" s="18"/>
      <c r="N50" s="18"/>
      <c r="O50" s="18"/>
    </row>
    <row r="51" spans="1:17">
      <c r="A51" s="7" t="s">
        <v>25</v>
      </c>
      <c r="B51" s="8"/>
      <c r="C51" s="8"/>
      <c r="D51" s="8"/>
      <c r="E51" s="8"/>
      <c r="F51" s="8"/>
      <c r="G51" s="20">
        <f>MIN(B51:F51)</f>
        <v>0</v>
      </c>
      <c r="H51" s="20">
        <f>MAX(B51:F51)</f>
        <v>0</v>
      </c>
      <c r="I51" s="20" t="e">
        <f>AVERAGE(B51:F51)</f>
        <v>#DIV/0!</v>
      </c>
      <c r="J51" s="20" t="e">
        <f>_xlfn.STDEV.S(B51:F51)</f>
        <v>#DIV/0!</v>
      </c>
      <c r="K51" s="21"/>
      <c r="L51" s="21"/>
      <c r="M51" s="21"/>
      <c r="N51" s="21"/>
      <c r="O51" s="21"/>
    </row>
    <row r="52" spans="1:17">
      <c r="A52" s="7" t="s">
        <v>26</v>
      </c>
      <c r="B52" s="8"/>
      <c r="C52" s="8"/>
      <c r="D52" s="8"/>
      <c r="E52" s="8"/>
      <c r="F52" s="8"/>
      <c r="G52" s="20">
        <f>MIN(B52:F52)</f>
        <v>0</v>
      </c>
      <c r="H52" s="20">
        <f>MAX(B52:F52)</f>
        <v>0</v>
      </c>
      <c r="I52" s="20" t="e">
        <f>AVERAGE(B52:F52)</f>
        <v>#DIV/0!</v>
      </c>
      <c r="J52" s="20" t="e">
        <f>_xlfn.STDEV.S(B52:F52)</f>
        <v>#DIV/0!</v>
      </c>
      <c r="K52" s="21"/>
      <c r="L52" s="21"/>
      <c r="M52" s="21"/>
      <c r="N52" s="21"/>
      <c r="O52" s="21"/>
    </row>
    <row r="56" spans="1:17">
      <c r="A56" s="2" t="s">
        <v>1</v>
      </c>
      <c r="B56" s="1" t="s">
        <v>33</v>
      </c>
      <c r="D56" t="s">
        <v>34</v>
      </c>
      <c r="L56" s="2"/>
    </row>
    <row r="57" spans="1:17" ht="15.75">
      <c r="D57" t="s">
        <v>35</v>
      </c>
      <c r="F57" t="s">
        <v>36</v>
      </c>
      <c r="K57" s="26"/>
      <c r="L57" s="26"/>
      <c r="M57" s="27" t="s">
        <v>7</v>
      </c>
      <c r="N57" s="26"/>
      <c r="O57" s="26"/>
    </row>
    <row r="58" spans="1:17" ht="18.75">
      <c r="A58" s="3" t="s">
        <v>8</v>
      </c>
      <c r="B58" s="4" t="s">
        <v>9</v>
      </c>
      <c r="C58" s="4" t="s">
        <v>10</v>
      </c>
      <c r="D58" s="4" t="s">
        <v>11</v>
      </c>
      <c r="E58" s="4" t="s">
        <v>12</v>
      </c>
      <c r="F58" s="4" t="s">
        <v>13</v>
      </c>
      <c r="G58" s="4" t="s">
        <v>14</v>
      </c>
      <c r="H58" s="4" t="s">
        <v>15</v>
      </c>
      <c r="I58" s="4" t="s">
        <v>16</v>
      </c>
      <c r="J58" s="4" t="s">
        <v>17</v>
      </c>
      <c r="K58" s="4" t="s">
        <v>18</v>
      </c>
      <c r="L58" s="4" t="s">
        <v>19</v>
      </c>
      <c r="M58" s="4" t="s">
        <v>20</v>
      </c>
      <c r="N58" s="4" t="s">
        <v>21</v>
      </c>
      <c r="O58" s="4" t="s">
        <v>22</v>
      </c>
    </row>
    <row r="59" spans="1:17">
      <c r="A59" s="19" t="s">
        <v>24</v>
      </c>
      <c r="B59" s="18"/>
      <c r="C59" s="18"/>
      <c r="D59" s="18"/>
      <c r="E59" s="18"/>
      <c r="F59" s="18"/>
      <c r="G59" s="19"/>
      <c r="H59" s="19"/>
      <c r="I59" s="19"/>
      <c r="J59" s="19"/>
      <c r="K59" s="18"/>
      <c r="L59" s="18"/>
      <c r="M59" s="18"/>
      <c r="N59" s="18"/>
      <c r="O59" s="18"/>
    </row>
    <row r="60" spans="1:17">
      <c r="A60" s="7" t="s">
        <v>25</v>
      </c>
      <c r="B60" s="8">
        <v>486.5</v>
      </c>
      <c r="C60" s="8">
        <v>488.67</v>
      </c>
      <c r="D60" s="8">
        <v>477.81</v>
      </c>
      <c r="E60" s="8">
        <v>480.9</v>
      </c>
      <c r="F60" s="8">
        <v>480.5</v>
      </c>
      <c r="G60" s="20">
        <f>MIN(B60:F60)</f>
        <v>477.81</v>
      </c>
      <c r="H60" s="20">
        <f>MAX(B60:F60)</f>
        <v>488.67</v>
      </c>
      <c r="I60" s="20">
        <f>AVERAGE(B60:F60)</f>
        <v>482.87600000000003</v>
      </c>
      <c r="J60" s="20">
        <f>_xlfn.STDEV.S(B60:F60)</f>
        <v>4.5254314711417365</v>
      </c>
      <c r="K60" s="21"/>
      <c r="L60" s="21"/>
      <c r="M60" s="21"/>
      <c r="N60" s="21"/>
      <c r="O60" s="21"/>
      <c r="P60" t="s">
        <v>37</v>
      </c>
      <c r="Q60">
        <v>400</v>
      </c>
    </row>
    <row r="61" spans="1:17">
      <c r="A61" s="7" t="s">
        <v>26</v>
      </c>
      <c r="B61" s="8">
        <v>485.01</v>
      </c>
      <c r="C61" s="8">
        <v>486.68</v>
      </c>
      <c r="D61" s="8">
        <v>487.84</v>
      </c>
      <c r="E61" s="8">
        <v>485.14</v>
      </c>
      <c r="F61" s="8">
        <v>485.37</v>
      </c>
      <c r="G61" s="20">
        <f>MIN(B61:F61)</f>
        <v>485.01</v>
      </c>
      <c r="H61" s="20">
        <f>MAX(B61:F61)</f>
        <v>487.84</v>
      </c>
      <c r="I61" s="20">
        <f>AVERAGE(B61:F61)</f>
        <v>486.00799999999998</v>
      </c>
      <c r="J61" s="20">
        <f>_xlfn.STDEV.S(B61:F61)</f>
        <v>1.2210937719929573</v>
      </c>
      <c r="K61" s="21"/>
      <c r="L61" s="21"/>
      <c r="M61" s="21"/>
      <c r="N61" s="21"/>
      <c r="O61" s="21"/>
    </row>
    <row r="62" spans="1:17">
      <c r="A62" s="19" t="s">
        <v>27</v>
      </c>
      <c r="B62" s="18"/>
      <c r="C62" s="18"/>
      <c r="D62" s="18"/>
      <c r="E62" s="18"/>
      <c r="F62" s="18"/>
      <c r="G62" s="19"/>
      <c r="H62" s="19"/>
      <c r="I62" s="19"/>
      <c r="J62" s="19"/>
      <c r="K62" s="18"/>
      <c r="L62" s="18"/>
      <c r="M62" s="18"/>
      <c r="N62" s="18"/>
      <c r="O62" s="18"/>
    </row>
    <row r="63" spans="1:17">
      <c r="A63" s="7" t="s">
        <v>25</v>
      </c>
      <c r="B63" s="8"/>
      <c r="C63" s="8"/>
      <c r="D63" s="8"/>
      <c r="E63" s="8"/>
      <c r="F63" s="8"/>
      <c r="G63" s="20">
        <f>MIN(B63:F63)</f>
        <v>0</v>
      </c>
      <c r="H63" s="20">
        <f>MAX(B63:F63)</f>
        <v>0</v>
      </c>
      <c r="I63" s="20" t="e">
        <f>AVERAGE(B63:F63)</f>
        <v>#DIV/0!</v>
      </c>
      <c r="J63" s="20" t="e">
        <f>_xlfn.STDEV.S(B63:F63)</f>
        <v>#DIV/0!</v>
      </c>
      <c r="K63" s="21"/>
      <c r="L63" s="21"/>
      <c r="M63" s="21"/>
      <c r="N63" s="21"/>
      <c r="O63" s="21"/>
    </row>
    <row r="64" spans="1:17">
      <c r="A64" s="7" t="s">
        <v>26</v>
      </c>
      <c r="B64" s="8"/>
      <c r="C64" s="8"/>
      <c r="D64" s="8"/>
      <c r="E64" s="8"/>
      <c r="F64" s="8"/>
      <c r="G64" s="20">
        <f>MIN(B64:F64)</f>
        <v>0</v>
      </c>
      <c r="H64" s="20">
        <f>MAX(B64:F64)</f>
        <v>0</v>
      </c>
      <c r="I64" s="20" t="e">
        <f>AVERAGE(B64:F64)</f>
        <v>#DIV/0!</v>
      </c>
      <c r="J64" s="20" t="e">
        <f>_xlfn.STDEV.S(B64:F64)</f>
        <v>#DIV/0!</v>
      </c>
      <c r="K64" s="21"/>
      <c r="L64" s="21"/>
      <c r="M64" s="21"/>
      <c r="N64" s="21"/>
      <c r="O64" s="21"/>
    </row>
    <row r="65" spans="1:15">
      <c r="A65" s="19" t="s">
        <v>28</v>
      </c>
      <c r="B65" s="18"/>
      <c r="C65" s="18"/>
      <c r="D65" s="18"/>
      <c r="E65" s="18"/>
      <c r="F65" s="18"/>
      <c r="G65" s="19"/>
      <c r="H65" s="19"/>
      <c r="I65" s="19"/>
      <c r="J65" s="19"/>
      <c r="K65" s="18"/>
      <c r="L65" s="18"/>
      <c r="M65" s="18"/>
      <c r="N65" s="18"/>
      <c r="O65" s="18"/>
    </row>
    <row r="66" spans="1:15">
      <c r="A66" s="7" t="s">
        <v>25</v>
      </c>
      <c r="B66" s="8"/>
      <c r="C66" s="8"/>
      <c r="D66" s="8"/>
      <c r="E66" s="8"/>
      <c r="F66" s="8"/>
      <c r="G66" s="20">
        <f>MIN(B66:F66)</f>
        <v>0</v>
      </c>
      <c r="H66" s="20">
        <f>MAX(B66:F66)</f>
        <v>0</v>
      </c>
      <c r="I66" s="20" t="e">
        <f>AVERAGE(B66:F66)</f>
        <v>#DIV/0!</v>
      </c>
      <c r="J66" s="20" t="e">
        <f>_xlfn.STDEV.S(B66:F66)</f>
        <v>#DIV/0!</v>
      </c>
      <c r="K66" s="21"/>
      <c r="L66" s="21"/>
      <c r="M66" s="21"/>
      <c r="N66" s="21"/>
      <c r="O66" s="21"/>
    </row>
    <row r="67" spans="1:15">
      <c r="A67" s="7" t="s">
        <v>26</v>
      </c>
      <c r="B67" s="8"/>
      <c r="C67" s="8"/>
      <c r="D67" s="8"/>
      <c r="E67" s="8"/>
      <c r="F67" s="8"/>
      <c r="G67" s="20">
        <f>MIN(B67:F67)</f>
        <v>0</v>
      </c>
      <c r="H67" s="20">
        <f>MAX(B67:F67)</f>
        <v>0</v>
      </c>
      <c r="I67" s="20" t="e">
        <f>AVERAGE(B67:F67)</f>
        <v>#DIV/0!</v>
      </c>
      <c r="J67" s="20" t="e">
        <f>_xlfn.STDEV.S(B67:F67)</f>
        <v>#DIV/0!</v>
      </c>
      <c r="K67" s="21"/>
      <c r="L67" s="21"/>
      <c r="M67" s="21"/>
      <c r="N67" s="21"/>
      <c r="O67" s="21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5353-349C-4156-A146-C11B2EF84E46}">
  <dimension ref="A1:AU67"/>
  <sheetViews>
    <sheetView topLeftCell="A24" workbookViewId="0">
      <selection activeCell="F73" sqref="F73"/>
    </sheetView>
  </sheetViews>
  <sheetFormatPr defaultRowHeight="15"/>
  <cols>
    <col min="1" max="1" width="20.7109375" customWidth="1"/>
    <col min="2" max="9" width="10.7109375" customWidth="1"/>
    <col min="10" max="10" width="19.85546875" customWidth="1"/>
    <col min="11" max="11" width="17.7109375" customWidth="1"/>
    <col min="12" max="15" width="15.7109375" customWidth="1"/>
    <col min="16" max="17" width="10.7109375" customWidth="1"/>
    <col min="18" max="18" width="13.7109375" bestFit="1" customWidth="1"/>
    <col min="19" max="19" width="12.5703125" bestFit="1" customWidth="1"/>
  </cols>
  <sheetData>
    <row r="1" spans="1:47">
      <c r="A1" t="s">
        <v>0</v>
      </c>
      <c r="Q1" t="s">
        <v>76</v>
      </c>
      <c r="Y1" t="s">
        <v>77</v>
      </c>
      <c r="AG1" t="s">
        <v>78</v>
      </c>
      <c r="AO1" t="s">
        <v>79</v>
      </c>
    </row>
    <row r="2" spans="1:47" ht="15.75">
      <c r="A2" s="2" t="s">
        <v>1</v>
      </c>
      <c r="B2" s="1" t="s">
        <v>80</v>
      </c>
      <c r="D2" t="s">
        <v>81</v>
      </c>
      <c r="L2" s="2"/>
      <c r="Q2" s="34" t="s">
        <v>82</v>
      </c>
      <c r="R2" s="34" t="s">
        <v>18</v>
      </c>
      <c r="S2" s="34" t="s">
        <v>83</v>
      </c>
      <c r="T2" s="34" t="s">
        <v>84</v>
      </c>
      <c r="U2" s="34" t="s">
        <v>21</v>
      </c>
      <c r="V2" s="35" t="s">
        <v>22</v>
      </c>
      <c r="W2" s="36"/>
      <c r="Z2" s="34" t="s">
        <v>18</v>
      </c>
      <c r="AA2" s="34" t="s">
        <v>83</v>
      </c>
      <c r="AB2" s="34" t="s">
        <v>84</v>
      </c>
      <c r="AC2" s="34" t="s">
        <v>21</v>
      </c>
      <c r="AD2" s="35" t="s">
        <v>22</v>
      </c>
      <c r="AE2" s="34" t="s">
        <v>82</v>
      </c>
      <c r="AH2" s="34" t="s">
        <v>18</v>
      </c>
      <c r="AI2" s="34" t="s">
        <v>83</v>
      </c>
      <c r="AJ2" s="34" t="s">
        <v>84</v>
      </c>
      <c r="AK2" s="34" t="s">
        <v>21</v>
      </c>
      <c r="AL2" s="35" t="s">
        <v>22</v>
      </c>
      <c r="AM2" s="34" t="s">
        <v>82</v>
      </c>
      <c r="AP2" s="34" t="s">
        <v>18</v>
      </c>
      <c r="AQ2" s="34" t="s">
        <v>83</v>
      </c>
      <c r="AR2" s="34" t="s">
        <v>84</v>
      </c>
      <c r="AS2" s="34" t="s">
        <v>21</v>
      </c>
      <c r="AT2" s="35" t="s">
        <v>22</v>
      </c>
      <c r="AU2" s="34" t="s">
        <v>82</v>
      </c>
    </row>
    <row r="3" spans="1:47" ht="15.75">
      <c r="D3" t="s">
        <v>85</v>
      </c>
      <c r="F3" s="28" t="s">
        <v>86</v>
      </c>
      <c r="K3" s="26"/>
      <c r="L3" s="26"/>
      <c r="M3" s="27" t="s">
        <v>7</v>
      </c>
      <c r="N3" s="26"/>
      <c r="O3" s="26"/>
      <c r="P3" s="26"/>
      <c r="Q3" s="105">
        <v>99.828999999999994</v>
      </c>
      <c r="R3" s="105">
        <v>157160</v>
      </c>
      <c r="S3" s="105">
        <v>0</v>
      </c>
      <c r="T3" s="33">
        <v>113210</v>
      </c>
      <c r="U3">
        <v>1</v>
      </c>
      <c r="V3">
        <v>2400</v>
      </c>
      <c r="W3" s="33"/>
      <c r="Y3" s="33"/>
      <c r="Z3">
        <v>167944</v>
      </c>
      <c r="AA3">
        <v>0</v>
      </c>
      <c r="AB3">
        <v>41365</v>
      </c>
      <c r="AC3">
        <v>1</v>
      </c>
      <c r="AD3">
        <v>774</v>
      </c>
      <c r="AE3">
        <v>99.947000000000003</v>
      </c>
      <c r="AG3" s="33"/>
      <c r="AH3">
        <v>164404</v>
      </c>
      <c r="AI3">
        <v>0</v>
      </c>
      <c r="AJ3">
        <v>40502</v>
      </c>
      <c r="AK3">
        <v>2</v>
      </c>
      <c r="AL3">
        <v>3556</v>
      </c>
      <c r="AM3">
        <v>99.795000000000002</v>
      </c>
      <c r="AO3" s="33"/>
      <c r="AP3">
        <v>19144</v>
      </c>
      <c r="AQ3">
        <v>0</v>
      </c>
      <c r="AR3">
        <v>4140</v>
      </c>
      <c r="AS3">
        <v>1</v>
      </c>
      <c r="AT3">
        <v>74</v>
      </c>
      <c r="AU3">
        <v>99.677999999999997</v>
      </c>
    </row>
    <row r="4" spans="1:47" ht="18.7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87</v>
      </c>
      <c r="Q4" s="106">
        <v>99.769000000000005</v>
      </c>
      <c r="R4" s="107">
        <v>157224</v>
      </c>
      <c r="S4" s="107">
        <v>0</v>
      </c>
      <c r="T4" s="33">
        <v>113211</v>
      </c>
      <c r="U4">
        <v>1</v>
      </c>
      <c r="V4">
        <v>5077</v>
      </c>
      <c r="W4" s="33"/>
      <c r="Y4" s="33"/>
      <c r="Z4">
        <v>167944</v>
      </c>
      <c r="AA4">
        <v>0</v>
      </c>
      <c r="AB4">
        <v>41364</v>
      </c>
      <c r="AC4">
        <v>1</v>
      </c>
      <c r="AD4">
        <v>1933</v>
      </c>
      <c r="AE4">
        <v>99.995999999999995</v>
      </c>
      <c r="AG4" s="33"/>
      <c r="AH4">
        <v>164524</v>
      </c>
      <c r="AI4">
        <v>0</v>
      </c>
      <c r="AJ4">
        <v>40500</v>
      </c>
      <c r="AK4">
        <v>1</v>
      </c>
      <c r="AL4">
        <v>464</v>
      </c>
      <c r="AM4">
        <v>99.942999999999998</v>
      </c>
      <c r="AO4" s="33"/>
      <c r="AP4">
        <v>19120</v>
      </c>
      <c r="AQ4">
        <v>0</v>
      </c>
      <c r="AR4">
        <v>4142</v>
      </c>
      <c r="AS4">
        <v>1</v>
      </c>
      <c r="AT4">
        <v>177</v>
      </c>
      <c r="AU4">
        <v>99.418000000000006</v>
      </c>
    </row>
    <row r="5" spans="1:47">
      <c r="A5" s="19" t="s">
        <v>24</v>
      </c>
      <c r="B5" s="18"/>
      <c r="C5" s="18"/>
      <c r="D5" s="18"/>
      <c r="E5" s="18"/>
      <c r="F5" s="18"/>
      <c r="G5" s="19"/>
      <c r="H5" s="19"/>
      <c r="I5" s="19"/>
      <c r="J5" s="19"/>
      <c r="K5" s="18"/>
      <c r="L5" s="18"/>
      <c r="M5" s="18"/>
      <c r="N5" s="18"/>
      <c r="O5" s="18"/>
      <c r="P5" s="19"/>
      <c r="Q5" s="108">
        <v>99.888000000000005</v>
      </c>
      <c r="R5" s="39">
        <v>157184</v>
      </c>
      <c r="S5" s="39">
        <v>0</v>
      </c>
      <c r="T5" s="33">
        <v>113208</v>
      </c>
      <c r="U5">
        <v>1</v>
      </c>
      <c r="V5">
        <v>2059</v>
      </c>
      <c r="W5" s="33"/>
      <c r="Y5" s="33"/>
      <c r="Z5">
        <v>167944</v>
      </c>
      <c r="AA5">
        <v>0</v>
      </c>
      <c r="AB5">
        <v>41366</v>
      </c>
      <c r="AC5">
        <v>1</v>
      </c>
      <c r="AD5">
        <v>2337</v>
      </c>
      <c r="AE5">
        <v>99.938999999999993</v>
      </c>
      <c r="AG5" s="33"/>
      <c r="AH5">
        <v>164444</v>
      </c>
      <c r="AI5">
        <v>0</v>
      </c>
      <c r="AJ5">
        <v>40499</v>
      </c>
      <c r="AK5">
        <v>1</v>
      </c>
      <c r="AL5">
        <v>9049</v>
      </c>
      <c r="AM5">
        <v>99.009</v>
      </c>
      <c r="AO5" s="33"/>
      <c r="AP5">
        <v>19120</v>
      </c>
      <c r="AQ5">
        <v>0</v>
      </c>
      <c r="AR5">
        <v>4142</v>
      </c>
      <c r="AS5">
        <v>1</v>
      </c>
      <c r="AT5">
        <v>741</v>
      </c>
      <c r="AU5">
        <v>98.57</v>
      </c>
    </row>
    <row r="6" spans="1:47">
      <c r="A6" s="7" t="s">
        <v>25</v>
      </c>
      <c r="B6" s="29">
        <v>239.14</v>
      </c>
      <c r="C6" s="29">
        <v>234.04</v>
      </c>
      <c r="D6" s="29">
        <v>231.63</v>
      </c>
      <c r="E6" s="29">
        <v>224.82</v>
      </c>
      <c r="F6" s="29">
        <v>182.77</v>
      </c>
      <c r="G6" s="20">
        <f>MIN(B6:F6)</f>
        <v>182.77</v>
      </c>
      <c r="H6" s="20">
        <f>MAX(B6:F6)</f>
        <v>239.14</v>
      </c>
      <c r="I6" s="20">
        <f>AVERAGE(B6:F6)</f>
        <v>222.47999999999996</v>
      </c>
      <c r="J6" s="20">
        <f>_xlfn.STDEV.S(B6:F6)</f>
        <v>22.78854646527504</v>
      </c>
      <c r="K6" s="21">
        <f>R8</f>
        <v>157198.39999999999</v>
      </c>
      <c r="L6" s="21">
        <f t="shared" ref="L6:O6" si="0">S8</f>
        <v>0</v>
      </c>
      <c r="M6" s="21">
        <f t="shared" si="0"/>
        <v>113209.2</v>
      </c>
      <c r="N6" s="21">
        <f t="shared" si="0"/>
        <v>1</v>
      </c>
      <c r="O6" s="21">
        <f t="shared" si="0"/>
        <v>2420.8000000000002</v>
      </c>
      <c r="P6" s="21">
        <f>Q8</f>
        <v>99.909599999999998</v>
      </c>
      <c r="Q6" s="106">
        <v>100.111</v>
      </c>
      <c r="R6" s="40">
        <v>157168</v>
      </c>
      <c r="S6" s="40">
        <v>0</v>
      </c>
      <c r="T6" s="33">
        <v>113210</v>
      </c>
      <c r="U6">
        <v>1</v>
      </c>
      <c r="V6">
        <v>1640</v>
      </c>
      <c r="W6" s="33"/>
      <c r="Y6" s="33"/>
      <c r="Z6">
        <v>167968</v>
      </c>
      <c r="AA6">
        <v>0</v>
      </c>
      <c r="AB6">
        <v>41364</v>
      </c>
      <c r="AC6">
        <v>1</v>
      </c>
      <c r="AD6">
        <v>1543</v>
      </c>
      <c r="AE6">
        <v>99.954999999999998</v>
      </c>
      <c r="AG6" s="33"/>
      <c r="AH6">
        <v>164276</v>
      </c>
      <c r="AI6">
        <v>0</v>
      </c>
      <c r="AJ6">
        <v>40502</v>
      </c>
      <c r="AK6">
        <v>1</v>
      </c>
      <c r="AL6">
        <v>6732</v>
      </c>
      <c r="AM6">
        <v>98.984999999999999</v>
      </c>
      <c r="AO6" s="33"/>
      <c r="AP6">
        <v>18992</v>
      </c>
      <c r="AQ6">
        <v>0</v>
      </c>
      <c r="AR6">
        <v>4142</v>
      </c>
      <c r="AS6">
        <v>1</v>
      </c>
      <c r="AT6">
        <v>183</v>
      </c>
      <c r="AU6">
        <v>99.305000000000007</v>
      </c>
    </row>
    <row r="7" spans="1:47">
      <c r="A7" s="7" t="s">
        <v>26</v>
      </c>
      <c r="B7" s="29">
        <v>183.32</v>
      </c>
      <c r="C7" s="29">
        <v>183.31</v>
      </c>
      <c r="D7" s="29">
        <v>183.1</v>
      </c>
      <c r="E7" s="29">
        <v>183.76</v>
      </c>
      <c r="F7" s="29">
        <v>184.29</v>
      </c>
      <c r="G7" s="20">
        <f>MIN(B7:F7)</f>
        <v>183.1</v>
      </c>
      <c r="H7" s="20">
        <f>MAX(B7:F7)</f>
        <v>184.29</v>
      </c>
      <c r="I7" s="20">
        <f>AVERAGE(B7:F7)</f>
        <v>183.55599999999998</v>
      </c>
      <c r="J7" s="20">
        <f>_xlfn.STDEV.S(B7:F7)</f>
        <v>0.47553128183117244</v>
      </c>
      <c r="K7" s="21">
        <f>R14</f>
        <v>161771.20000000001</v>
      </c>
      <c r="L7" s="21">
        <f t="shared" ref="L7:O7" si="1">S14</f>
        <v>0</v>
      </c>
      <c r="M7" s="21">
        <f t="shared" si="1"/>
        <v>39798.400000000001</v>
      </c>
      <c r="N7" s="21">
        <f t="shared" si="1"/>
        <v>1</v>
      </c>
      <c r="O7" s="21">
        <f t="shared" si="1"/>
        <v>1250.4000000000001</v>
      </c>
      <c r="P7" s="37">
        <f>Q14</f>
        <v>99.979200000000006</v>
      </c>
      <c r="Q7" s="106">
        <v>99.950999999999993</v>
      </c>
      <c r="R7" s="40">
        <v>157256</v>
      </c>
      <c r="S7" s="40">
        <v>0</v>
      </c>
      <c r="T7" s="33">
        <v>113207</v>
      </c>
      <c r="U7">
        <v>1</v>
      </c>
      <c r="V7">
        <v>928</v>
      </c>
      <c r="W7" s="33"/>
      <c r="Y7" s="33"/>
      <c r="Z7">
        <v>167816</v>
      </c>
      <c r="AB7">
        <v>41365</v>
      </c>
      <c r="AC7">
        <v>1</v>
      </c>
      <c r="AD7">
        <v>1502</v>
      </c>
      <c r="AE7">
        <v>99.927000000000007</v>
      </c>
      <c r="AG7" s="33"/>
      <c r="AH7">
        <v>164532</v>
      </c>
      <c r="AI7">
        <v>0</v>
      </c>
      <c r="AJ7">
        <v>40499</v>
      </c>
      <c r="AK7">
        <v>1</v>
      </c>
      <c r="AL7">
        <v>2601</v>
      </c>
      <c r="AM7">
        <v>99.81</v>
      </c>
      <c r="AO7" s="33"/>
      <c r="AP7">
        <v>19064</v>
      </c>
      <c r="AQ7">
        <v>0</v>
      </c>
      <c r="AR7">
        <v>4142</v>
      </c>
      <c r="AS7">
        <v>1</v>
      </c>
      <c r="AT7">
        <v>930</v>
      </c>
      <c r="AU7">
        <v>99.13</v>
      </c>
    </row>
    <row r="8" spans="1:47">
      <c r="A8" s="19" t="s">
        <v>27</v>
      </c>
      <c r="B8" s="30"/>
      <c r="C8" s="30"/>
      <c r="D8" s="30"/>
      <c r="E8" s="30"/>
      <c r="F8" s="30"/>
      <c r="G8" s="19"/>
      <c r="H8" s="19"/>
      <c r="I8" s="19"/>
      <c r="J8" s="19"/>
      <c r="K8" s="18"/>
      <c r="L8" s="18"/>
      <c r="M8" s="18"/>
      <c r="N8" s="18"/>
      <c r="O8" s="18"/>
      <c r="P8" s="19"/>
      <c r="Q8" s="106">
        <f>AVERAGE(Q3:Q7)</f>
        <v>99.909599999999998</v>
      </c>
      <c r="R8" s="106">
        <f t="shared" ref="R8:AU8" si="2">AVERAGE(R3:R7)</f>
        <v>157198.39999999999</v>
      </c>
      <c r="S8" s="106">
        <f t="shared" si="2"/>
        <v>0</v>
      </c>
      <c r="T8" s="106">
        <f t="shared" si="2"/>
        <v>113209.2</v>
      </c>
      <c r="U8" s="106">
        <f t="shared" si="2"/>
        <v>1</v>
      </c>
      <c r="V8" s="106">
        <f t="shared" si="2"/>
        <v>2420.8000000000002</v>
      </c>
      <c r="W8" s="106" t="s">
        <v>88</v>
      </c>
      <c r="X8" s="106" t="s">
        <v>88</v>
      </c>
      <c r="Y8" s="106" t="s">
        <v>88</v>
      </c>
      <c r="Z8" s="106">
        <f t="shared" si="2"/>
        <v>167923.20000000001</v>
      </c>
      <c r="AA8" s="106">
        <f t="shared" si="2"/>
        <v>0</v>
      </c>
      <c r="AB8" s="106">
        <f t="shared" si="2"/>
        <v>41364.800000000003</v>
      </c>
      <c r="AC8" s="106">
        <f t="shared" si="2"/>
        <v>1</v>
      </c>
      <c r="AD8" s="106">
        <f t="shared" si="2"/>
        <v>1617.8</v>
      </c>
      <c r="AE8" s="106">
        <f t="shared" si="2"/>
        <v>99.952799999999996</v>
      </c>
      <c r="AF8" s="106" t="s">
        <v>88</v>
      </c>
      <c r="AG8" s="106" t="s">
        <v>88</v>
      </c>
      <c r="AH8" s="106">
        <f t="shared" si="2"/>
        <v>164436</v>
      </c>
      <c r="AI8" s="106">
        <f t="shared" si="2"/>
        <v>0</v>
      </c>
      <c r="AJ8" s="106">
        <f t="shared" si="2"/>
        <v>40500.400000000001</v>
      </c>
      <c r="AK8" s="106">
        <f t="shared" si="2"/>
        <v>1.2</v>
      </c>
      <c r="AL8" s="106">
        <f t="shared" si="2"/>
        <v>4480.3999999999996</v>
      </c>
      <c r="AM8" s="106">
        <f t="shared" si="2"/>
        <v>99.508400000000009</v>
      </c>
      <c r="AN8" s="106" t="s">
        <v>88</v>
      </c>
      <c r="AO8" s="106" t="s">
        <v>88</v>
      </c>
      <c r="AP8" s="106">
        <f t="shared" si="2"/>
        <v>19088</v>
      </c>
      <c r="AQ8" s="106">
        <f t="shared" si="2"/>
        <v>0</v>
      </c>
      <c r="AR8" s="106">
        <f t="shared" si="2"/>
        <v>4141.6000000000004</v>
      </c>
      <c r="AS8" s="106">
        <f t="shared" si="2"/>
        <v>1</v>
      </c>
      <c r="AT8" s="106">
        <f t="shared" si="2"/>
        <v>421</v>
      </c>
      <c r="AU8" s="106">
        <f t="shared" si="2"/>
        <v>99.220200000000006</v>
      </c>
    </row>
    <row r="9" spans="1:47">
      <c r="A9" s="7" t="s">
        <v>25</v>
      </c>
      <c r="B9" s="29">
        <v>9679</v>
      </c>
      <c r="C9" s="29">
        <v>9386</v>
      </c>
      <c r="D9" s="29">
        <v>8945</v>
      </c>
      <c r="E9" s="29">
        <v>8980</v>
      </c>
      <c r="F9" s="29">
        <v>8983</v>
      </c>
      <c r="G9" s="20">
        <f>MIN(B9:F9)</f>
        <v>8945</v>
      </c>
      <c r="H9" s="20">
        <f>MAX(B9:F9)</f>
        <v>9679</v>
      </c>
      <c r="I9" s="20">
        <f>AVERAGE(B9:F9)</f>
        <v>9194.6</v>
      </c>
      <c r="J9" s="20">
        <f>_xlfn.STDEV.S(B9:F9)</f>
        <v>325.73194501000359</v>
      </c>
      <c r="K9" s="21">
        <f>R20</f>
        <v>1647426.4</v>
      </c>
      <c r="L9" s="21">
        <f t="shared" ref="L9:O9" si="3">S20</f>
        <v>21317.8</v>
      </c>
      <c r="M9" s="21">
        <f t="shared" si="3"/>
        <v>1417321</v>
      </c>
      <c r="N9" s="21">
        <f t="shared" si="3"/>
        <v>23758</v>
      </c>
      <c r="O9" s="21">
        <f t="shared" si="3"/>
        <v>340484.2</v>
      </c>
      <c r="P9" s="37">
        <f>Q20</f>
        <v>99.69919999999999</v>
      </c>
      <c r="Q9" s="108">
        <v>100.005</v>
      </c>
      <c r="R9" s="39">
        <v>161736</v>
      </c>
      <c r="S9" s="39">
        <v>0</v>
      </c>
      <c r="T9" s="33">
        <v>39797</v>
      </c>
      <c r="U9">
        <v>1</v>
      </c>
      <c r="V9">
        <v>359</v>
      </c>
      <c r="W9" s="33"/>
      <c r="Y9" s="33"/>
      <c r="Z9">
        <v>172692</v>
      </c>
      <c r="AA9">
        <v>0</v>
      </c>
      <c r="AB9">
        <v>42524</v>
      </c>
      <c r="AC9">
        <v>1</v>
      </c>
      <c r="AD9">
        <v>1488</v>
      </c>
      <c r="AE9">
        <v>99.899000000000001</v>
      </c>
      <c r="AG9" s="33"/>
      <c r="AH9">
        <v>171736</v>
      </c>
      <c r="AI9">
        <v>0</v>
      </c>
      <c r="AJ9">
        <v>42286</v>
      </c>
      <c r="AK9">
        <v>1</v>
      </c>
      <c r="AL9">
        <v>2878</v>
      </c>
      <c r="AM9">
        <v>99.989000000000004</v>
      </c>
      <c r="AO9" s="33"/>
      <c r="AP9">
        <v>34884</v>
      </c>
      <c r="AQ9">
        <v>0</v>
      </c>
      <c r="AR9">
        <v>8033</v>
      </c>
      <c r="AS9">
        <v>1</v>
      </c>
      <c r="AT9">
        <v>12456</v>
      </c>
      <c r="AU9">
        <v>99.438000000000002</v>
      </c>
    </row>
    <row r="10" spans="1:47">
      <c r="A10" s="7" t="s">
        <v>26</v>
      </c>
      <c r="B10" s="29">
        <v>10736</v>
      </c>
      <c r="C10" s="29">
        <v>5506</v>
      </c>
      <c r="D10" s="29">
        <v>10920</v>
      </c>
      <c r="E10" s="29">
        <v>6477</v>
      </c>
      <c r="F10" s="29">
        <v>6182</v>
      </c>
      <c r="G10" s="20">
        <f>MIN(B10:F10)</f>
        <v>5506</v>
      </c>
      <c r="H10" s="20">
        <f>MAX(B10:F10)</f>
        <v>10920</v>
      </c>
      <c r="I10" s="20">
        <f>AVERAGE(B10:F10)</f>
        <v>7964.2</v>
      </c>
      <c r="J10" s="20">
        <f>_xlfn.STDEV.S(B10:F10)</f>
        <v>2638.6728103347718</v>
      </c>
      <c r="K10" s="21">
        <f>R26</f>
        <v>1662124.8</v>
      </c>
      <c r="L10" s="21">
        <f t="shared" ref="L10:O10" si="4">S26</f>
        <v>0</v>
      </c>
      <c r="M10" s="21">
        <f t="shared" si="4"/>
        <v>414906.4</v>
      </c>
      <c r="N10" s="21">
        <f t="shared" si="4"/>
        <v>2.4</v>
      </c>
      <c r="O10" s="21">
        <f t="shared" si="4"/>
        <v>221768.8</v>
      </c>
      <c r="P10" s="37">
        <f>Q26</f>
        <v>79.389399999999995</v>
      </c>
      <c r="Q10" s="106">
        <v>99.956000000000003</v>
      </c>
      <c r="R10" s="40">
        <v>161812</v>
      </c>
      <c r="S10" s="40">
        <v>0</v>
      </c>
      <c r="T10" s="33">
        <v>39799</v>
      </c>
      <c r="U10">
        <v>1</v>
      </c>
      <c r="V10">
        <v>1339</v>
      </c>
      <c r="W10" s="33"/>
      <c r="Y10" s="33"/>
      <c r="Z10">
        <v>172696</v>
      </c>
      <c r="AA10">
        <v>0</v>
      </c>
      <c r="AB10">
        <v>42523</v>
      </c>
      <c r="AC10">
        <v>1</v>
      </c>
      <c r="AD10">
        <v>1529</v>
      </c>
      <c r="AE10">
        <v>99.908000000000001</v>
      </c>
      <c r="AG10" s="33"/>
      <c r="AH10">
        <v>171840</v>
      </c>
      <c r="AI10">
        <v>0</v>
      </c>
      <c r="AJ10">
        <v>42287</v>
      </c>
      <c r="AK10">
        <v>1</v>
      </c>
      <c r="AL10">
        <v>2750</v>
      </c>
      <c r="AM10">
        <v>99.986999999999995</v>
      </c>
      <c r="AO10" s="33"/>
      <c r="AP10">
        <v>34888</v>
      </c>
      <c r="AQ10">
        <v>0</v>
      </c>
      <c r="AR10">
        <v>8035</v>
      </c>
      <c r="AS10">
        <v>1</v>
      </c>
      <c r="AT10">
        <v>1228</v>
      </c>
      <c r="AU10">
        <v>99.99</v>
      </c>
    </row>
    <row r="11" spans="1:47">
      <c r="A11" s="19" t="s">
        <v>28</v>
      </c>
      <c r="B11" s="30"/>
      <c r="C11" s="30"/>
      <c r="D11" s="30"/>
      <c r="E11" s="30"/>
      <c r="F11" s="30"/>
      <c r="G11" s="19"/>
      <c r="H11" s="19"/>
      <c r="I11" s="19"/>
      <c r="J11" s="19"/>
      <c r="K11" s="18"/>
      <c r="L11" s="18"/>
      <c r="M11" s="18"/>
      <c r="N11" s="18"/>
      <c r="O11" s="18"/>
      <c r="P11" s="19"/>
      <c r="Q11" s="106">
        <v>99.972999999999999</v>
      </c>
      <c r="R11" s="40">
        <v>161764</v>
      </c>
      <c r="S11" s="40">
        <v>0</v>
      </c>
      <c r="T11" s="33">
        <v>39798</v>
      </c>
      <c r="U11">
        <v>1</v>
      </c>
      <c r="V11">
        <v>1376</v>
      </c>
      <c r="W11" s="33"/>
      <c r="Y11" s="33"/>
      <c r="Z11">
        <v>172696</v>
      </c>
      <c r="AA11">
        <v>0</v>
      </c>
      <c r="AB11">
        <v>42524</v>
      </c>
      <c r="AC11">
        <v>1</v>
      </c>
      <c r="AD11">
        <v>1333</v>
      </c>
      <c r="AE11">
        <v>99.923000000000002</v>
      </c>
      <c r="AG11" s="33"/>
      <c r="AH11">
        <v>171848</v>
      </c>
      <c r="AI11">
        <v>0</v>
      </c>
      <c r="AJ11">
        <v>42287</v>
      </c>
      <c r="AK11">
        <v>1</v>
      </c>
      <c r="AL11">
        <v>2419</v>
      </c>
      <c r="AM11">
        <v>99.989000000000004</v>
      </c>
      <c r="AO11" s="33"/>
      <c r="AP11">
        <v>34780</v>
      </c>
      <c r="AQ11">
        <v>0</v>
      </c>
      <c r="AR11">
        <v>8034</v>
      </c>
      <c r="AS11">
        <v>1</v>
      </c>
      <c r="AT11">
        <v>1338</v>
      </c>
      <c r="AU11">
        <v>99.99</v>
      </c>
    </row>
    <row r="12" spans="1:47">
      <c r="A12" s="7" t="s">
        <v>25</v>
      </c>
      <c r="B12" s="29">
        <v>31027</v>
      </c>
      <c r="C12" s="29">
        <v>33077</v>
      </c>
      <c r="D12" s="29">
        <v>34672</v>
      </c>
      <c r="E12" s="29">
        <v>30783</v>
      </c>
      <c r="F12" s="29">
        <v>36425</v>
      </c>
      <c r="G12" s="20">
        <f>MIN(B12:F12)</f>
        <v>30783</v>
      </c>
      <c r="H12" s="20">
        <f>MAX(B12:F12)</f>
        <v>36425</v>
      </c>
      <c r="I12" s="20">
        <f>AVERAGE(B12:F12)</f>
        <v>33196.800000000003</v>
      </c>
      <c r="J12" s="20">
        <f>_xlfn.STDEV.S(B12:F12)</f>
        <v>2405.5303365370391</v>
      </c>
      <c r="K12" s="21">
        <f>R32</f>
        <v>3044430.4</v>
      </c>
      <c r="L12" s="21">
        <f t="shared" ref="L12:O12" si="5">S32</f>
        <v>0</v>
      </c>
      <c r="M12" s="21">
        <f t="shared" si="5"/>
        <v>2610338.6</v>
      </c>
      <c r="N12" s="21">
        <f t="shared" si="5"/>
        <v>2.2000000000000002</v>
      </c>
      <c r="O12" s="21">
        <f t="shared" si="5"/>
        <v>353272.2</v>
      </c>
      <c r="P12" s="37">
        <f>Q32</f>
        <v>96.468400000000003</v>
      </c>
      <c r="Q12" s="108">
        <v>99.983999999999995</v>
      </c>
      <c r="R12" s="39">
        <v>161728</v>
      </c>
      <c r="S12" s="39">
        <v>0</v>
      </c>
      <c r="T12" s="33">
        <v>39797</v>
      </c>
      <c r="U12">
        <v>1</v>
      </c>
      <c r="V12">
        <v>1676</v>
      </c>
      <c r="W12" s="33"/>
      <c r="Y12" s="33"/>
      <c r="Z12">
        <v>172616</v>
      </c>
      <c r="AA12">
        <v>0</v>
      </c>
      <c r="AB12">
        <v>42522</v>
      </c>
      <c r="AC12">
        <v>1</v>
      </c>
      <c r="AD12">
        <v>2246</v>
      </c>
      <c r="AE12">
        <v>99.912000000000006</v>
      </c>
      <c r="AG12" s="33"/>
      <c r="AH12">
        <v>171712</v>
      </c>
      <c r="AI12">
        <v>0</v>
      </c>
      <c r="AJ12">
        <v>42287</v>
      </c>
      <c r="AK12">
        <v>1</v>
      </c>
      <c r="AL12">
        <v>2647</v>
      </c>
      <c r="AM12">
        <v>99.992999999999995</v>
      </c>
      <c r="AO12" s="33"/>
      <c r="AP12">
        <v>34760</v>
      </c>
      <c r="AQ12">
        <v>0</v>
      </c>
      <c r="AR12">
        <v>8036</v>
      </c>
      <c r="AS12">
        <v>1</v>
      </c>
      <c r="AT12">
        <v>1355</v>
      </c>
      <c r="AU12">
        <v>99.99</v>
      </c>
    </row>
    <row r="13" spans="1:47">
      <c r="A13" s="7" t="s">
        <v>26</v>
      </c>
      <c r="B13" s="29">
        <v>32484</v>
      </c>
      <c r="C13" s="29">
        <v>28533</v>
      </c>
      <c r="D13" s="29">
        <v>23360</v>
      </c>
      <c r="E13" s="29">
        <v>28716</v>
      </c>
      <c r="F13" s="29">
        <v>34491</v>
      </c>
      <c r="G13" s="20">
        <f>MIN(B13:F13)</f>
        <v>23360</v>
      </c>
      <c r="H13" s="20">
        <f>MAX(B13:F13)</f>
        <v>34491</v>
      </c>
      <c r="I13" s="20">
        <f>AVERAGE(B13:F13)</f>
        <v>29516.799999999999</v>
      </c>
      <c r="J13" s="20">
        <f>_xlfn.STDEV.S(B13:F13)</f>
        <v>4273.8235457257761</v>
      </c>
      <c r="K13" s="21">
        <f>R38</f>
        <v>3064383.2</v>
      </c>
      <c r="L13" s="21">
        <f t="shared" ref="L13:O13" si="6">S38</f>
        <v>69836.800000000003</v>
      </c>
      <c r="M13" s="21">
        <f t="shared" si="6"/>
        <v>781363.8</v>
      </c>
      <c r="N13" s="21">
        <f t="shared" si="6"/>
        <v>72899.199999999997</v>
      </c>
      <c r="O13" s="21">
        <f t="shared" si="6"/>
        <v>384042.8</v>
      </c>
      <c r="P13" s="37">
        <f>Q38</f>
        <v>95.727200000000011</v>
      </c>
      <c r="Q13" s="106">
        <v>99.977999999999994</v>
      </c>
      <c r="R13" s="40">
        <v>161816</v>
      </c>
      <c r="S13" s="40">
        <v>0</v>
      </c>
      <c r="T13" s="33">
        <v>39801</v>
      </c>
      <c r="U13">
        <v>1</v>
      </c>
      <c r="V13">
        <v>1502</v>
      </c>
      <c r="W13" s="33"/>
      <c r="Y13" s="33"/>
      <c r="Z13">
        <v>172608</v>
      </c>
      <c r="AA13">
        <v>0</v>
      </c>
      <c r="AB13">
        <v>42521</v>
      </c>
      <c r="AC13">
        <v>1</v>
      </c>
      <c r="AD13">
        <v>2418</v>
      </c>
      <c r="AE13">
        <v>99.947999999999993</v>
      </c>
      <c r="AF13" s="106"/>
      <c r="AG13" s="33"/>
      <c r="AH13">
        <v>171748</v>
      </c>
      <c r="AI13">
        <v>0</v>
      </c>
      <c r="AJ13">
        <v>42284</v>
      </c>
      <c r="AK13">
        <v>1</v>
      </c>
      <c r="AL13">
        <v>2309</v>
      </c>
      <c r="AM13">
        <v>99.989000000000004</v>
      </c>
      <c r="AO13" s="33"/>
      <c r="AP13">
        <v>34888</v>
      </c>
      <c r="AQ13">
        <v>0</v>
      </c>
      <c r="AR13">
        <v>8034</v>
      </c>
      <c r="AS13">
        <v>1</v>
      </c>
      <c r="AT13">
        <v>1384</v>
      </c>
      <c r="AU13">
        <v>99.99</v>
      </c>
    </row>
    <row r="14" spans="1:47">
      <c r="A14" s="7"/>
      <c r="B14" s="8" t="s">
        <v>89</v>
      </c>
      <c r="C14" s="8" t="s">
        <v>90</v>
      </c>
      <c r="D14" s="8" t="s">
        <v>91</v>
      </c>
      <c r="E14" s="8" t="s">
        <v>92</v>
      </c>
      <c r="F14" s="8"/>
      <c r="G14" s="4"/>
      <c r="H14" s="4"/>
      <c r="I14" s="4"/>
      <c r="J14" s="4"/>
      <c r="K14" s="4"/>
      <c r="L14" s="4"/>
      <c r="M14" s="4"/>
      <c r="N14" s="4"/>
      <c r="O14" s="4"/>
      <c r="P14" s="38"/>
      <c r="Q14" s="106">
        <f>AVERAGE(Q9:Q13)</f>
        <v>99.979200000000006</v>
      </c>
      <c r="R14" s="106">
        <f t="shared" ref="R14:AU14" si="7">AVERAGE(R9:R13)</f>
        <v>161771.20000000001</v>
      </c>
      <c r="S14" s="106">
        <f t="shared" si="7"/>
        <v>0</v>
      </c>
      <c r="T14" s="106">
        <f t="shared" si="7"/>
        <v>39798.400000000001</v>
      </c>
      <c r="U14" s="106">
        <f t="shared" si="7"/>
        <v>1</v>
      </c>
      <c r="V14" s="106">
        <f t="shared" si="7"/>
        <v>1250.4000000000001</v>
      </c>
      <c r="W14" s="106" t="s">
        <v>88</v>
      </c>
      <c r="X14" s="106" t="s">
        <v>88</v>
      </c>
      <c r="Y14" s="106" t="s">
        <v>88</v>
      </c>
      <c r="Z14" s="106">
        <f t="shared" si="7"/>
        <v>172661.6</v>
      </c>
      <c r="AA14" s="106">
        <f t="shared" si="7"/>
        <v>0</v>
      </c>
      <c r="AB14" s="106">
        <f t="shared" si="7"/>
        <v>42522.8</v>
      </c>
      <c r="AC14" s="106">
        <f t="shared" si="7"/>
        <v>1</v>
      </c>
      <c r="AD14" s="106">
        <f t="shared" si="7"/>
        <v>1802.8</v>
      </c>
      <c r="AE14" s="106">
        <f t="shared" si="7"/>
        <v>99.918000000000006</v>
      </c>
      <c r="AF14" s="106" t="s">
        <v>88</v>
      </c>
      <c r="AG14" s="106" t="s">
        <v>88</v>
      </c>
      <c r="AH14" s="106">
        <f t="shared" si="7"/>
        <v>171776.8</v>
      </c>
      <c r="AI14" s="106">
        <f t="shared" si="7"/>
        <v>0</v>
      </c>
      <c r="AJ14" s="106">
        <f t="shared" si="7"/>
        <v>42286.2</v>
      </c>
      <c r="AK14" s="106">
        <f t="shared" si="7"/>
        <v>1</v>
      </c>
      <c r="AL14" s="106">
        <f t="shared" si="7"/>
        <v>2600.6</v>
      </c>
      <c r="AM14" s="106">
        <f t="shared" si="7"/>
        <v>99.989400000000003</v>
      </c>
      <c r="AN14" s="106" t="s">
        <v>88</v>
      </c>
      <c r="AO14" s="106" t="s">
        <v>88</v>
      </c>
      <c r="AP14" s="106">
        <f t="shared" si="7"/>
        <v>34840</v>
      </c>
      <c r="AQ14" s="106">
        <f t="shared" si="7"/>
        <v>0</v>
      </c>
      <c r="AR14" s="106">
        <f t="shared" si="7"/>
        <v>8034.4</v>
      </c>
      <c r="AS14" s="106">
        <f t="shared" si="7"/>
        <v>1</v>
      </c>
      <c r="AT14" s="106">
        <f t="shared" si="7"/>
        <v>3552.2</v>
      </c>
      <c r="AU14" s="106">
        <f t="shared" si="7"/>
        <v>99.879600000000011</v>
      </c>
    </row>
    <row r="15" spans="1:47">
      <c r="A15" s="2" t="s">
        <v>29</v>
      </c>
      <c r="L15" s="2"/>
      <c r="Q15" s="106">
        <v>99.129000000000005</v>
      </c>
      <c r="R15" s="40">
        <v>1647536</v>
      </c>
      <c r="S15" s="40">
        <v>106589</v>
      </c>
      <c r="T15" s="33">
        <v>1476868</v>
      </c>
      <c r="U15">
        <v>118771</v>
      </c>
      <c r="V15">
        <v>417909</v>
      </c>
      <c r="W15" s="33"/>
      <c r="Z15">
        <v>1641096</v>
      </c>
      <c r="AA15">
        <v>0</v>
      </c>
      <c r="AB15">
        <v>409673</v>
      </c>
      <c r="AC15">
        <v>1</v>
      </c>
      <c r="AD15">
        <v>85578</v>
      </c>
      <c r="AE15">
        <v>99.957999999999998</v>
      </c>
      <c r="AH15">
        <v>181884</v>
      </c>
      <c r="AI15">
        <v>0</v>
      </c>
      <c r="AJ15">
        <v>48164</v>
      </c>
      <c r="AK15">
        <v>1</v>
      </c>
      <c r="AL15">
        <v>1337</v>
      </c>
      <c r="AM15">
        <v>99.994</v>
      </c>
      <c r="AP15">
        <v>77272</v>
      </c>
      <c r="AQ15">
        <v>0</v>
      </c>
      <c r="AR15">
        <v>18666</v>
      </c>
      <c r="AS15">
        <v>1</v>
      </c>
      <c r="AT15">
        <v>109</v>
      </c>
      <c r="AU15">
        <v>100</v>
      </c>
    </row>
    <row r="16" spans="1:47" ht="15.75">
      <c r="K16" s="26"/>
      <c r="L16" s="26"/>
      <c r="M16" s="27" t="s">
        <v>7</v>
      </c>
      <c r="N16" s="26"/>
      <c r="O16" s="26"/>
      <c r="P16" s="26"/>
      <c r="Q16" s="33">
        <v>99.872</v>
      </c>
      <c r="R16" s="33">
        <v>1647484</v>
      </c>
      <c r="S16" s="33">
        <v>0</v>
      </c>
      <c r="T16" s="33">
        <v>1402430</v>
      </c>
      <c r="U16">
        <v>1</v>
      </c>
      <c r="V16">
        <v>237500</v>
      </c>
      <c r="Z16">
        <v>1641096</v>
      </c>
      <c r="AA16">
        <v>0</v>
      </c>
      <c r="AB16">
        <v>409674</v>
      </c>
      <c r="AC16">
        <v>1</v>
      </c>
      <c r="AD16">
        <v>14773</v>
      </c>
      <c r="AE16">
        <v>99.995000000000005</v>
      </c>
      <c r="AH16">
        <v>181824</v>
      </c>
      <c r="AI16">
        <v>0</v>
      </c>
      <c r="AJ16">
        <v>48165</v>
      </c>
      <c r="AK16">
        <v>1</v>
      </c>
      <c r="AL16">
        <v>1387</v>
      </c>
      <c r="AM16">
        <v>99.994</v>
      </c>
      <c r="AP16">
        <v>77228</v>
      </c>
      <c r="AQ16">
        <v>0</v>
      </c>
      <c r="AR16">
        <v>18667</v>
      </c>
      <c r="AS16">
        <v>1</v>
      </c>
      <c r="AT16">
        <v>154</v>
      </c>
      <c r="AU16">
        <v>99.965000000000003</v>
      </c>
    </row>
    <row r="17" spans="1:47" ht="18.75">
      <c r="A17" s="3" t="s">
        <v>93</v>
      </c>
      <c r="B17" s="4" t="s">
        <v>9</v>
      </c>
      <c r="C17" s="4" t="s">
        <v>10</v>
      </c>
      <c r="D17" s="4" t="s">
        <v>11</v>
      </c>
      <c r="E17" s="4" t="s">
        <v>12</v>
      </c>
      <c r="F17" s="4" t="s">
        <v>13</v>
      </c>
      <c r="G17" s="4" t="s">
        <v>14</v>
      </c>
      <c r="H17" s="4" t="s">
        <v>15</v>
      </c>
      <c r="I17" s="4" t="s">
        <v>16</v>
      </c>
      <c r="J17" s="4" t="s">
        <v>17</v>
      </c>
      <c r="K17" s="4" t="s">
        <v>18</v>
      </c>
      <c r="L17" s="4" t="s">
        <v>19</v>
      </c>
      <c r="M17" s="4" t="s">
        <v>20</v>
      </c>
      <c r="N17" s="4" t="s">
        <v>21</v>
      </c>
      <c r="O17" s="4" t="s">
        <v>22</v>
      </c>
      <c r="P17" s="4" t="s">
        <v>87</v>
      </c>
      <c r="Q17">
        <v>99.891000000000005</v>
      </c>
      <c r="R17">
        <v>1647352</v>
      </c>
      <c r="S17">
        <v>0</v>
      </c>
      <c r="T17">
        <v>1402429</v>
      </c>
      <c r="U17">
        <v>1</v>
      </c>
      <c r="V17">
        <v>239943</v>
      </c>
      <c r="Z17">
        <v>1641172</v>
      </c>
      <c r="AA17">
        <v>0</v>
      </c>
      <c r="AB17">
        <v>409671</v>
      </c>
      <c r="AC17">
        <v>1</v>
      </c>
      <c r="AD17">
        <v>19809</v>
      </c>
      <c r="AE17">
        <v>99.998999999999995</v>
      </c>
      <c r="AH17">
        <v>181956</v>
      </c>
      <c r="AI17">
        <v>0</v>
      </c>
      <c r="AJ17">
        <v>48166</v>
      </c>
      <c r="AK17">
        <v>1</v>
      </c>
      <c r="AL17">
        <v>1386</v>
      </c>
      <c r="AM17">
        <v>99.994</v>
      </c>
      <c r="AP17">
        <v>77232</v>
      </c>
      <c r="AQ17">
        <v>0</v>
      </c>
      <c r="AR17">
        <v>18665</v>
      </c>
      <c r="AS17">
        <v>1</v>
      </c>
      <c r="AT17">
        <v>104</v>
      </c>
      <c r="AU17">
        <v>99.965000000000003</v>
      </c>
    </row>
    <row r="18" spans="1:47">
      <c r="A18" s="19" t="s">
        <v>53</v>
      </c>
      <c r="B18" s="18"/>
      <c r="C18" s="18"/>
      <c r="D18" s="18"/>
      <c r="E18" s="18"/>
      <c r="F18" s="18"/>
      <c r="G18" s="19"/>
      <c r="H18" s="19"/>
      <c r="I18" s="19"/>
      <c r="J18" s="19"/>
      <c r="K18" s="18"/>
      <c r="L18" s="18"/>
      <c r="M18" s="18"/>
      <c r="N18" s="18"/>
      <c r="O18" s="18"/>
      <c r="P18" s="19"/>
      <c r="Q18">
        <v>99.831000000000003</v>
      </c>
      <c r="R18">
        <v>1647528</v>
      </c>
      <c r="S18">
        <v>0</v>
      </c>
      <c r="T18">
        <v>1402438</v>
      </c>
      <c r="U18">
        <v>8</v>
      </c>
      <c r="V18">
        <v>357400</v>
      </c>
      <c r="Z18">
        <v>1641300</v>
      </c>
      <c r="AA18">
        <v>0</v>
      </c>
      <c r="AB18">
        <v>409671</v>
      </c>
      <c r="AC18">
        <v>1</v>
      </c>
      <c r="AD18">
        <v>40955</v>
      </c>
      <c r="AE18">
        <v>99.968999999999994</v>
      </c>
      <c r="AH18">
        <v>181956</v>
      </c>
      <c r="AI18">
        <v>0</v>
      </c>
      <c r="AJ18">
        <v>48165</v>
      </c>
      <c r="AK18">
        <v>1</v>
      </c>
      <c r="AL18">
        <v>1262</v>
      </c>
      <c r="AM18">
        <v>99.991</v>
      </c>
      <c r="AP18">
        <v>77228</v>
      </c>
      <c r="AQ18">
        <v>0</v>
      </c>
      <c r="AR18">
        <v>18668</v>
      </c>
      <c r="AS18">
        <v>1</v>
      </c>
      <c r="AT18">
        <v>106</v>
      </c>
      <c r="AU18">
        <v>99.963999999999999</v>
      </c>
    </row>
    <row r="19" spans="1:47">
      <c r="A19" s="7" t="s">
        <v>25</v>
      </c>
      <c r="B19" s="31">
        <v>247.01</v>
      </c>
      <c r="C19" s="31">
        <v>245.75</v>
      </c>
      <c r="D19" s="31">
        <v>246.57</v>
      </c>
      <c r="E19" s="31">
        <v>246.03</v>
      </c>
      <c r="F19" s="31">
        <v>246.41</v>
      </c>
      <c r="G19" s="20">
        <f>MIN(B19:F19)</f>
        <v>245.75</v>
      </c>
      <c r="H19" s="20">
        <f>MAX(B19:F19)</f>
        <v>247.01</v>
      </c>
      <c r="I19" s="20">
        <f>AVERAGE(B19:F19)</f>
        <v>246.35399999999998</v>
      </c>
      <c r="J19" s="20">
        <f>_xlfn.STDEV.S(B19:F19)</f>
        <v>0.48731919724139333</v>
      </c>
      <c r="K19" s="21">
        <f>Z8</f>
        <v>167923.20000000001</v>
      </c>
      <c r="L19" s="21">
        <f t="shared" ref="L19:P19" si="8">AA8</f>
        <v>0</v>
      </c>
      <c r="M19" s="21">
        <f t="shared" si="8"/>
        <v>41364.800000000003</v>
      </c>
      <c r="N19" s="21">
        <f t="shared" si="8"/>
        <v>1</v>
      </c>
      <c r="O19" s="21">
        <f t="shared" si="8"/>
        <v>1617.8</v>
      </c>
      <c r="P19" s="21">
        <f t="shared" si="8"/>
        <v>99.952799999999996</v>
      </c>
      <c r="Q19">
        <v>99.772999999999996</v>
      </c>
      <c r="R19">
        <v>1647232</v>
      </c>
      <c r="S19">
        <v>0</v>
      </c>
      <c r="T19">
        <v>1402440</v>
      </c>
      <c r="U19">
        <v>9</v>
      </c>
      <c r="V19">
        <v>449669</v>
      </c>
      <c r="Z19">
        <v>1641136</v>
      </c>
      <c r="AA19">
        <v>0</v>
      </c>
      <c r="AB19">
        <v>409674</v>
      </c>
      <c r="AC19">
        <v>1</v>
      </c>
      <c r="AD19">
        <v>56975</v>
      </c>
      <c r="AE19">
        <v>99.977999999999994</v>
      </c>
      <c r="AH19">
        <v>182012</v>
      </c>
      <c r="AI19">
        <v>0</v>
      </c>
      <c r="AJ19">
        <v>48163</v>
      </c>
      <c r="AK19">
        <v>1</v>
      </c>
      <c r="AL19">
        <v>1278</v>
      </c>
      <c r="AM19">
        <v>99.988</v>
      </c>
      <c r="AP19">
        <v>77104</v>
      </c>
      <c r="AQ19">
        <v>0</v>
      </c>
      <c r="AR19">
        <v>18666</v>
      </c>
      <c r="AS19">
        <v>1</v>
      </c>
      <c r="AT19">
        <v>105</v>
      </c>
      <c r="AU19">
        <v>100</v>
      </c>
    </row>
    <row r="20" spans="1:47">
      <c r="A20" s="7" t="s">
        <v>26</v>
      </c>
      <c r="B20" s="31">
        <v>247.8</v>
      </c>
      <c r="C20" s="31">
        <v>248.38</v>
      </c>
      <c r="D20" s="31">
        <v>247.85</v>
      </c>
      <c r="E20" s="31">
        <v>248.67</v>
      </c>
      <c r="F20" s="31">
        <v>249.14</v>
      </c>
      <c r="G20" s="20">
        <f>MIN(B20:F20)</f>
        <v>247.8</v>
      </c>
      <c r="H20" s="20">
        <f>MAX(B20:F20)</f>
        <v>249.14</v>
      </c>
      <c r="I20" s="20">
        <f>AVERAGE(B20:F20)</f>
        <v>248.36799999999999</v>
      </c>
      <c r="J20" s="20">
        <f>_xlfn.STDEV.S(B20:F20)</f>
        <v>0.5653052272887551</v>
      </c>
      <c r="K20" s="21">
        <f>Z14</f>
        <v>172661.6</v>
      </c>
      <c r="L20" s="21">
        <f t="shared" ref="L20:P20" si="9">AA14</f>
        <v>0</v>
      </c>
      <c r="M20" s="21">
        <f t="shared" si="9"/>
        <v>42522.8</v>
      </c>
      <c r="N20" s="21">
        <f t="shared" si="9"/>
        <v>1</v>
      </c>
      <c r="O20" s="21">
        <f t="shared" si="9"/>
        <v>1802.8</v>
      </c>
      <c r="P20" s="21">
        <f t="shared" si="9"/>
        <v>99.918000000000006</v>
      </c>
      <c r="Q20" s="8">
        <f>AVERAGE(Q15:Q19)</f>
        <v>99.69919999999999</v>
      </c>
      <c r="R20" s="8">
        <f t="shared" ref="R20:AU20" si="10">AVERAGE(R15:R19)</f>
        <v>1647426.4</v>
      </c>
      <c r="S20" s="8">
        <f t="shared" si="10"/>
        <v>21317.8</v>
      </c>
      <c r="T20" s="8">
        <f t="shared" si="10"/>
        <v>1417321</v>
      </c>
      <c r="U20" s="8">
        <f t="shared" si="10"/>
        <v>23758</v>
      </c>
      <c r="V20" s="8">
        <f t="shared" si="10"/>
        <v>340484.2</v>
      </c>
      <c r="W20" s="106" t="s">
        <v>88</v>
      </c>
      <c r="X20" s="106" t="s">
        <v>88</v>
      </c>
      <c r="Y20" s="106" t="s">
        <v>88</v>
      </c>
      <c r="Z20" s="8">
        <f t="shared" si="10"/>
        <v>1641160</v>
      </c>
      <c r="AA20" s="8">
        <f t="shared" si="10"/>
        <v>0</v>
      </c>
      <c r="AB20" s="8">
        <f t="shared" si="10"/>
        <v>409672.6</v>
      </c>
      <c r="AC20" s="8">
        <f t="shared" si="10"/>
        <v>1</v>
      </c>
      <c r="AD20" s="8">
        <f t="shared" si="10"/>
        <v>43618</v>
      </c>
      <c r="AE20" s="8">
        <f t="shared" si="10"/>
        <v>99.979799999999997</v>
      </c>
      <c r="AF20" s="106" t="s">
        <v>88</v>
      </c>
      <c r="AG20" s="106" t="s">
        <v>88</v>
      </c>
      <c r="AH20" s="8">
        <f t="shared" si="10"/>
        <v>181926.39999999999</v>
      </c>
      <c r="AI20" s="8">
        <f t="shared" si="10"/>
        <v>0</v>
      </c>
      <c r="AJ20" s="8">
        <f t="shared" si="10"/>
        <v>48164.6</v>
      </c>
      <c r="AK20" s="8">
        <f t="shared" si="10"/>
        <v>1</v>
      </c>
      <c r="AL20" s="8">
        <f t="shared" si="10"/>
        <v>1330</v>
      </c>
      <c r="AM20" s="8">
        <f t="shared" si="10"/>
        <v>99.992199999999997</v>
      </c>
      <c r="AN20" s="106" t="s">
        <v>88</v>
      </c>
      <c r="AO20" s="106" t="s">
        <v>88</v>
      </c>
      <c r="AP20" s="8">
        <f t="shared" si="10"/>
        <v>77212.800000000003</v>
      </c>
      <c r="AQ20" s="8">
        <f t="shared" si="10"/>
        <v>0</v>
      </c>
      <c r="AR20" s="8">
        <f t="shared" si="10"/>
        <v>18666.400000000001</v>
      </c>
      <c r="AS20" s="8">
        <f t="shared" si="10"/>
        <v>1</v>
      </c>
      <c r="AT20" s="8">
        <f t="shared" si="10"/>
        <v>115.6</v>
      </c>
      <c r="AU20" s="8">
        <f t="shared" si="10"/>
        <v>99.978800000000007</v>
      </c>
    </row>
    <row r="21" spans="1:47">
      <c r="A21" s="19" t="s">
        <v>27</v>
      </c>
      <c r="B21" s="32"/>
      <c r="C21" s="32"/>
      <c r="D21" s="32"/>
      <c r="E21" s="32"/>
      <c r="F21" s="32"/>
      <c r="G21" s="19"/>
      <c r="H21" s="19"/>
      <c r="I21" s="19"/>
      <c r="J21" s="19"/>
      <c r="K21" s="18"/>
      <c r="L21" s="18"/>
      <c r="M21" s="18"/>
      <c r="N21" s="18"/>
      <c r="O21" s="18"/>
      <c r="P21" s="19"/>
      <c r="Q21">
        <v>62.853999999999999</v>
      </c>
      <c r="R21">
        <v>1662228</v>
      </c>
      <c r="S21">
        <v>0</v>
      </c>
      <c r="T21">
        <v>414908</v>
      </c>
      <c r="U21">
        <v>2</v>
      </c>
      <c r="V21">
        <v>316286</v>
      </c>
      <c r="Z21">
        <v>1655788</v>
      </c>
      <c r="AA21">
        <v>0</v>
      </c>
      <c r="AB21">
        <v>413309</v>
      </c>
      <c r="AC21">
        <v>1</v>
      </c>
      <c r="AD21">
        <v>58176</v>
      </c>
      <c r="AE21">
        <v>99.924000000000007</v>
      </c>
      <c r="AH21">
        <v>189768</v>
      </c>
      <c r="AI21">
        <v>0</v>
      </c>
      <c r="AJ21">
        <v>46837</v>
      </c>
      <c r="AK21">
        <v>1</v>
      </c>
      <c r="AL21">
        <v>35517</v>
      </c>
      <c r="AM21">
        <v>99.974000000000004</v>
      </c>
      <c r="AP21">
        <v>149648</v>
      </c>
      <c r="AQ21">
        <v>0</v>
      </c>
      <c r="AR21">
        <v>36747</v>
      </c>
      <c r="AS21">
        <v>1</v>
      </c>
      <c r="AT21">
        <v>18064</v>
      </c>
      <c r="AU21">
        <v>100.002</v>
      </c>
    </row>
    <row r="22" spans="1:47">
      <c r="A22" s="7" t="s">
        <v>25</v>
      </c>
      <c r="B22" s="31">
        <v>11570.99</v>
      </c>
      <c r="C22" s="31">
        <v>10803.55</v>
      </c>
      <c r="D22" s="31">
        <v>8763.1299999999992</v>
      </c>
      <c r="E22" s="31">
        <v>9805.74</v>
      </c>
      <c r="F22" s="31">
        <v>10480.629999999999</v>
      </c>
      <c r="G22" s="20">
        <f>MIN(C22:F22)</f>
        <v>8763.1299999999992</v>
      </c>
      <c r="H22" s="20">
        <f>MAX(C22:F22)</f>
        <v>10803.55</v>
      </c>
      <c r="I22" s="20">
        <f>AVERAGE(C22:F22)</f>
        <v>9963.2624999999989</v>
      </c>
      <c r="J22" s="20">
        <f>_xlfn.STDEV.S(C22:F22)</f>
        <v>901.643604438583</v>
      </c>
      <c r="K22" s="21">
        <f>Z20</f>
        <v>1641160</v>
      </c>
      <c r="L22" s="21">
        <f t="shared" ref="L22:P22" si="11">AA20</f>
        <v>0</v>
      </c>
      <c r="M22" s="21">
        <f t="shared" si="11"/>
        <v>409672.6</v>
      </c>
      <c r="N22" s="21">
        <f t="shared" si="11"/>
        <v>1</v>
      </c>
      <c r="O22" s="21">
        <f t="shared" si="11"/>
        <v>43618</v>
      </c>
      <c r="P22" s="21">
        <f t="shared" si="11"/>
        <v>99.979799999999997</v>
      </c>
      <c r="Q22">
        <v>99.881</v>
      </c>
      <c r="R22">
        <v>1662060</v>
      </c>
      <c r="S22">
        <v>0</v>
      </c>
      <c r="T22">
        <v>414906</v>
      </c>
      <c r="U22">
        <v>1</v>
      </c>
      <c r="V22">
        <v>427532</v>
      </c>
      <c r="Z22">
        <v>1655876</v>
      </c>
      <c r="AA22">
        <v>0</v>
      </c>
      <c r="AB22">
        <v>413312</v>
      </c>
      <c r="AC22">
        <v>1</v>
      </c>
      <c r="AD22">
        <v>70166</v>
      </c>
      <c r="AE22">
        <v>99.912999999999997</v>
      </c>
      <c r="AH22">
        <v>189668</v>
      </c>
      <c r="AI22">
        <v>0</v>
      </c>
      <c r="AJ22">
        <v>46836</v>
      </c>
      <c r="AK22">
        <v>1</v>
      </c>
      <c r="AL22">
        <v>48456</v>
      </c>
      <c r="AM22">
        <v>99.959000000000003</v>
      </c>
      <c r="AP22">
        <v>149588</v>
      </c>
      <c r="AQ22">
        <v>0</v>
      </c>
      <c r="AR22">
        <v>36746</v>
      </c>
      <c r="AS22">
        <v>1</v>
      </c>
      <c r="AT22">
        <v>41691</v>
      </c>
      <c r="AU22">
        <v>99.97</v>
      </c>
    </row>
    <row r="23" spans="1:47">
      <c r="A23" s="7" t="s">
        <v>26</v>
      </c>
      <c r="B23" s="31">
        <v>9987.18</v>
      </c>
      <c r="C23" s="31">
        <v>8730.36</v>
      </c>
      <c r="D23" s="31">
        <v>9387.0499999999993</v>
      </c>
      <c r="E23" s="31">
        <v>9128.43</v>
      </c>
      <c r="F23" s="31">
        <v>8631.27</v>
      </c>
      <c r="G23" s="20">
        <f>MIN(C23:F23)</f>
        <v>8631.27</v>
      </c>
      <c r="H23" s="20">
        <f>MAX(C23:F23)</f>
        <v>9387.0499999999993</v>
      </c>
      <c r="I23" s="20">
        <f>AVERAGE(C23:F23)</f>
        <v>8969.2775000000001</v>
      </c>
      <c r="J23" s="20">
        <f>_xlfn.STDEV.S(C23:F23)</f>
        <v>351.7546597061646</v>
      </c>
      <c r="K23" s="21">
        <f>Z26</f>
        <v>1655858.4</v>
      </c>
      <c r="L23" s="21">
        <f t="shared" ref="L23:P23" si="12">AA26</f>
        <v>0</v>
      </c>
      <c r="M23" s="21">
        <f t="shared" si="12"/>
        <v>413310.8</v>
      </c>
      <c r="N23" s="21">
        <f t="shared" si="12"/>
        <v>1</v>
      </c>
      <c r="O23" s="21">
        <f t="shared" si="12"/>
        <v>67530.600000000006</v>
      </c>
      <c r="P23" s="21">
        <f t="shared" si="12"/>
        <v>99.933199999999985</v>
      </c>
      <c r="Q23">
        <v>51.45</v>
      </c>
      <c r="R23">
        <v>1662180</v>
      </c>
      <c r="S23">
        <v>0</v>
      </c>
      <c r="T23">
        <v>414906</v>
      </c>
      <c r="U23">
        <v>3</v>
      </c>
      <c r="V23">
        <v>83722</v>
      </c>
      <c r="Z23">
        <v>1655876</v>
      </c>
      <c r="AA23">
        <v>0</v>
      </c>
      <c r="AB23">
        <v>413311</v>
      </c>
      <c r="AC23">
        <v>1</v>
      </c>
      <c r="AD23">
        <v>137755</v>
      </c>
      <c r="AE23">
        <v>99.856999999999999</v>
      </c>
      <c r="AH23">
        <v>189968</v>
      </c>
      <c r="AI23">
        <v>0</v>
      </c>
      <c r="AJ23">
        <v>46838</v>
      </c>
      <c r="AK23">
        <v>1</v>
      </c>
      <c r="AL23">
        <v>19776</v>
      </c>
      <c r="AM23">
        <v>99.971999999999994</v>
      </c>
      <c r="AP23">
        <v>149704</v>
      </c>
      <c r="AQ23">
        <v>0</v>
      </c>
      <c r="AR23">
        <v>36747</v>
      </c>
      <c r="AS23">
        <v>1</v>
      </c>
      <c r="AT23">
        <v>70489</v>
      </c>
      <c r="AU23">
        <v>99.96</v>
      </c>
    </row>
    <row r="24" spans="1:47">
      <c r="A24" s="19" t="s">
        <v>28</v>
      </c>
      <c r="B24" s="32"/>
      <c r="C24" s="32"/>
      <c r="D24" s="32"/>
      <c r="E24" s="32"/>
      <c r="F24" s="32"/>
      <c r="G24" s="19"/>
      <c r="H24" s="19"/>
      <c r="I24" s="19"/>
      <c r="J24" s="19"/>
      <c r="K24" s="18"/>
      <c r="L24" s="18"/>
      <c r="M24" s="18"/>
      <c r="N24" s="18"/>
      <c r="O24" s="18"/>
      <c r="P24" s="18"/>
      <c r="Q24">
        <v>94.563999999999993</v>
      </c>
      <c r="R24">
        <v>1661972</v>
      </c>
      <c r="S24">
        <v>0</v>
      </c>
      <c r="T24">
        <v>414906</v>
      </c>
      <c r="U24">
        <v>4</v>
      </c>
      <c r="V24">
        <v>198047</v>
      </c>
      <c r="Z24">
        <v>1655876</v>
      </c>
      <c r="AA24">
        <v>0</v>
      </c>
      <c r="AB24">
        <v>413311</v>
      </c>
      <c r="AC24">
        <v>1</v>
      </c>
      <c r="AD24">
        <v>52777</v>
      </c>
      <c r="AE24">
        <v>99.981999999999999</v>
      </c>
      <c r="AH24">
        <v>189788</v>
      </c>
      <c r="AI24">
        <v>0</v>
      </c>
      <c r="AJ24">
        <v>46838</v>
      </c>
      <c r="AK24">
        <v>1</v>
      </c>
      <c r="AL24">
        <v>69336</v>
      </c>
      <c r="AM24">
        <v>99.917000000000002</v>
      </c>
      <c r="AP24">
        <v>149576</v>
      </c>
      <c r="AQ24">
        <v>0</v>
      </c>
      <c r="AR24">
        <v>36747</v>
      </c>
      <c r="AS24">
        <v>1</v>
      </c>
      <c r="AT24">
        <v>97254</v>
      </c>
      <c r="AU24">
        <v>99.906000000000006</v>
      </c>
    </row>
    <row r="25" spans="1:47">
      <c r="A25" s="7" t="s">
        <v>25</v>
      </c>
      <c r="B25" s="31">
        <v>29342.37</v>
      </c>
      <c r="C25" s="31">
        <v>29842.13</v>
      </c>
      <c r="D25" s="31">
        <v>26460.97</v>
      </c>
      <c r="E25" s="31">
        <v>25815.07</v>
      </c>
      <c r="F25" s="31">
        <v>26075.54</v>
      </c>
      <c r="G25" s="20">
        <f>MIN(C25:E25)</f>
        <v>25815.07</v>
      </c>
      <c r="H25" s="20">
        <f>MAX(C25:E25)</f>
        <v>29842.13</v>
      </c>
      <c r="I25" s="20">
        <f>AVERAGE(C25:E25)</f>
        <v>27372.723333333339</v>
      </c>
      <c r="J25" s="20">
        <f>_xlfn.STDEV.S(C25:E25)</f>
        <v>2162.816142563518</v>
      </c>
      <c r="K25" s="21">
        <f>Z32</f>
        <v>2912913.6</v>
      </c>
      <c r="L25" s="21">
        <f t="shared" ref="L25:P25" si="13">AA32</f>
        <v>0</v>
      </c>
      <c r="M25" s="21">
        <f t="shared" si="13"/>
        <v>727585.6</v>
      </c>
      <c r="N25" s="21">
        <f t="shared" si="13"/>
        <v>2.6</v>
      </c>
      <c r="O25" s="21">
        <f t="shared" si="13"/>
        <v>382419.6</v>
      </c>
      <c r="P25" s="21">
        <f t="shared" si="13"/>
        <v>93.856399999999994</v>
      </c>
      <c r="Q25">
        <v>88.197999999999993</v>
      </c>
      <c r="R25">
        <v>1662184</v>
      </c>
      <c r="S25">
        <v>0</v>
      </c>
      <c r="T25">
        <v>414906</v>
      </c>
      <c r="U25">
        <v>2</v>
      </c>
      <c r="V25">
        <v>83257</v>
      </c>
      <c r="Z25">
        <v>1655876</v>
      </c>
      <c r="AA25">
        <v>0</v>
      </c>
      <c r="AB25">
        <v>413311</v>
      </c>
      <c r="AC25">
        <v>1</v>
      </c>
      <c r="AD25">
        <v>18779</v>
      </c>
      <c r="AE25">
        <v>99.99</v>
      </c>
      <c r="AH25">
        <v>189888</v>
      </c>
      <c r="AI25">
        <v>0</v>
      </c>
      <c r="AJ25">
        <v>46840</v>
      </c>
      <c r="AK25">
        <v>1</v>
      </c>
      <c r="AL25">
        <v>46670</v>
      </c>
      <c r="AM25">
        <v>99.977000000000004</v>
      </c>
      <c r="AP25">
        <v>149696</v>
      </c>
      <c r="AQ25">
        <v>0</v>
      </c>
      <c r="AR25">
        <v>36748</v>
      </c>
      <c r="AS25">
        <v>1</v>
      </c>
      <c r="AT25">
        <v>50404</v>
      </c>
      <c r="AU25">
        <v>99.988</v>
      </c>
    </row>
    <row r="26" spans="1:47">
      <c r="A26" s="7" t="s">
        <v>26</v>
      </c>
      <c r="B26" s="31">
        <v>25205.759999999998</v>
      </c>
      <c r="C26" s="31">
        <v>23140.77</v>
      </c>
      <c r="D26" s="31">
        <v>19316.23</v>
      </c>
      <c r="E26" s="31">
        <v>26166.95</v>
      </c>
      <c r="F26" s="31">
        <v>26870.34</v>
      </c>
      <c r="G26" s="20">
        <f>MIN(C26:F26)</f>
        <v>19316.23</v>
      </c>
      <c r="H26" s="20">
        <f>MAX(C26:F26)</f>
        <v>26870.34</v>
      </c>
      <c r="I26" s="20">
        <f>AVERAGE(C26:F26)</f>
        <v>23873.572499999998</v>
      </c>
      <c r="J26" s="20">
        <f>_xlfn.STDEV.S(C26:F26)</f>
        <v>3442.2166294833487</v>
      </c>
      <c r="K26" s="21">
        <f t="shared" ref="K18:K26" si="14">Z38</f>
        <v>2932311.2</v>
      </c>
      <c r="L26" s="21">
        <f t="shared" ref="L26" si="15">AA38</f>
        <v>24243</v>
      </c>
      <c r="M26" s="21">
        <f t="shared" ref="M26" si="16">AB38</f>
        <v>738525.2</v>
      </c>
      <c r="N26" s="21">
        <f t="shared" ref="N26" si="17">AC38</f>
        <v>25928</v>
      </c>
      <c r="O26" s="21">
        <f t="shared" ref="O26" si="18">AD38</f>
        <v>337394.2</v>
      </c>
      <c r="P26" s="21">
        <f t="shared" ref="P26" si="19">AE38</f>
        <v>97.321600000000004</v>
      </c>
      <c r="Q26">
        <f>AVERAGE(Q21:Q25)</f>
        <v>79.389399999999995</v>
      </c>
      <c r="R26">
        <f t="shared" ref="R26:AU26" si="20">AVERAGE(R21:R25)</f>
        <v>1662124.8</v>
      </c>
      <c r="S26">
        <f t="shared" si="20"/>
        <v>0</v>
      </c>
      <c r="T26">
        <f t="shared" si="20"/>
        <v>414906.4</v>
      </c>
      <c r="U26">
        <f t="shared" si="20"/>
        <v>2.4</v>
      </c>
      <c r="V26">
        <f t="shared" si="20"/>
        <v>221768.8</v>
      </c>
      <c r="W26" s="106" t="s">
        <v>88</v>
      </c>
      <c r="X26" s="106" t="s">
        <v>88</v>
      </c>
      <c r="Y26" s="106" t="s">
        <v>88</v>
      </c>
      <c r="Z26">
        <f t="shared" si="20"/>
        <v>1655858.4</v>
      </c>
      <c r="AA26">
        <f t="shared" si="20"/>
        <v>0</v>
      </c>
      <c r="AB26">
        <f t="shared" si="20"/>
        <v>413310.8</v>
      </c>
      <c r="AC26">
        <f t="shared" si="20"/>
        <v>1</v>
      </c>
      <c r="AD26">
        <f t="shared" si="20"/>
        <v>67530.600000000006</v>
      </c>
      <c r="AE26">
        <f t="shared" si="20"/>
        <v>99.933199999999985</v>
      </c>
      <c r="AF26" s="106" t="s">
        <v>88</v>
      </c>
      <c r="AG26" s="106" t="s">
        <v>88</v>
      </c>
      <c r="AH26">
        <f t="shared" si="20"/>
        <v>189816</v>
      </c>
      <c r="AI26">
        <f t="shared" si="20"/>
        <v>0</v>
      </c>
      <c r="AJ26">
        <f t="shared" si="20"/>
        <v>46837.8</v>
      </c>
      <c r="AK26">
        <f t="shared" si="20"/>
        <v>1</v>
      </c>
      <c r="AL26">
        <f t="shared" si="20"/>
        <v>43951</v>
      </c>
      <c r="AM26">
        <f t="shared" si="20"/>
        <v>99.959800000000001</v>
      </c>
      <c r="AN26" s="106" t="s">
        <v>88</v>
      </c>
      <c r="AO26" s="106" t="s">
        <v>88</v>
      </c>
      <c r="AP26">
        <f t="shared" si="20"/>
        <v>149642.4</v>
      </c>
      <c r="AQ26">
        <f t="shared" si="20"/>
        <v>0</v>
      </c>
      <c r="AR26">
        <f t="shared" si="20"/>
        <v>36747</v>
      </c>
      <c r="AS26">
        <f t="shared" si="20"/>
        <v>1</v>
      </c>
      <c r="AT26">
        <f t="shared" si="20"/>
        <v>55580.4</v>
      </c>
      <c r="AU26">
        <f t="shared" si="20"/>
        <v>99.965199999999996</v>
      </c>
    </row>
    <row r="27" spans="1:47">
      <c r="A27" s="2" t="s">
        <v>29</v>
      </c>
      <c r="B27" t="s">
        <v>94</v>
      </c>
      <c r="C27" t="s">
        <v>95</v>
      </c>
      <c r="D27" t="s">
        <v>91</v>
      </c>
      <c r="E27" t="s">
        <v>96</v>
      </c>
      <c r="P27" s="38"/>
      <c r="Q27">
        <v>99.944999999999993</v>
      </c>
      <c r="R27">
        <v>3044428</v>
      </c>
      <c r="S27">
        <v>0</v>
      </c>
      <c r="T27">
        <v>2610338</v>
      </c>
      <c r="U27">
        <v>1</v>
      </c>
      <c r="V27">
        <v>208498</v>
      </c>
      <c r="Z27">
        <v>2912836</v>
      </c>
      <c r="AA27">
        <v>0</v>
      </c>
      <c r="AB27">
        <v>727586</v>
      </c>
      <c r="AC27">
        <v>1</v>
      </c>
      <c r="AD27">
        <v>539589</v>
      </c>
      <c r="AE27">
        <v>99.872</v>
      </c>
      <c r="AH27">
        <v>204396</v>
      </c>
      <c r="AI27">
        <v>0</v>
      </c>
      <c r="AJ27">
        <v>74634</v>
      </c>
      <c r="AK27">
        <v>1</v>
      </c>
      <c r="AL27">
        <v>1128</v>
      </c>
      <c r="AM27">
        <v>99.994</v>
      </c>
      <c r="AP27">
        <v>114904</v>
      </c>
      <c r="AQ27">
        <v>0</v>
      </c>
      <c r="AR27">
        <v>28078</v>
      </c>
      <c r="AS27">
        <v>1</v>
      </c>
      <c r="AT27">
        <v>389</v>
      </c>
      <c r="AU27">
        <v>99.977000000000004</v>
      </c>
    </row>
    <row r="28" spans="1:47" ht="15.75">
      <c r="B28" t="s">
        <v>97</v>
      </c>
      <c r="C28" t="s">
        <v>98</v>
      </c>
      <c r="K28" s="26"/>
      <c r="L28" s="26"/>
      <c r="M28" s="27" t="s">
        <v>7</v>
      </c>
      <c r="N28" s="26"/>
      <c r="O28" s="26"/>
      <c r="P28" s="26"/>
      <c r="Q28">
        <v>99.899000000000001</v>
      </c>
      <c r="R28">
        <v>3044472</v>
      </c>
      <c r="S28">
        <v>0</v>
      </c>
      <c r="T28">
        <v>2610340</v>
      </c>
      <c r="U28">
        <v>1</v>
      </c>
      <c r="V28">
        <v>448999</v>
      </c>
      <c r="Z28">
        <v>2912852</v>
      </c>
      <c r="AA28">
        <v>0</v>
      </c>
      <c r="AB28">
        <v>727583</v>
      </c>
      <c r="AC28">
        <v>1</v>
      </c>
      <c r="AD28">
        <v>764524</v>
      </c>
      <c r="AE28">
        <v>99.680999999999997</v>
      </c>
      <c r="AH28">
        <v>204400</v>
      </c>
      <c r="AI28">
        <v>0</v>
      </c>
      <c r="AJ28">
        <v>74634</v>
      </c>
      <c r="AK28">
        <v>1</v>
      </c>
      <c r="AL28">
        <v>1264</v>
      </c>
      <c r="AM28">
        <v>99.978999999999999</v>
      </c>
      <c r="AP28">
        <v>114916</v>
      </c>
      <c r="AQ28">
        <v>0</v>
      </c>
      <c r="AR28">
        <v>28080</v>
      </c>
      <c r="AS28">
        <v>1</v>
      </c>
      <c r="AT28">
        <v>318</v>
      </c>
      <c r="AU28">
        <v>99.977000000000004</v>
      </c>
    </row>
    <row r="29" spans="1:47" ht="18.75">
      <c r="A29" s="3" t="s">
        <v>99</v>
      </c>
      <c r="B29" s="4" t="s">
        <v>9</v>
      </c>
      <c r="C29" s="4" t="s">
        <v>10</v>
      </c>
      <c r="D29" s="4" t="s">
        <v>11</v>
      </c>
      <c r="E29" s="4" t="s">
        <v>12</v>
      </c>
      <c r="F29" s="4" t="s">
        <v>13</v>
      </c>
      <c r="G29" s="4" t="s">
        <v>14</v>
      </c>
      <c r="H29" s="4" t="s">
        <v>15</v>
      </c>
      <c r="I29" s="4" t="s">
        <v>16</v>
      </c>
      <c r="J29" s="4" t="s">
        <v>17</v>
      </c>
      <c r="K29" s="4" t="s">
        <v>18</v>
      </c>
      <c r="L29" s="4" t="s">
        <v>19</v>
      </c>
      <c r="M29" s="4" t="s">
        <v>20</v>
      </c>
      <c r="N29" s="4" t="s">
        <v>21</v>
      </c>
      <c r="O29" s="4" t="s">
        <v>22</v>
      </c>
      <c r="P29" s="4" t="s">
        <v>87</v>
      </c>
      <c r="Q29">
        <v>99.718000000000004</v>
      </c>
      <c r="R29">
        <v>3044272</v>
      </c>
      <c r="S29">
        <v>0</v>
      </c>
      <c r="T29">
        <v>2610338</v>
      </c>
      <c r="U29">
        <v>1</v>
      </c>
      <c r="V29">
        <v>834141</v>
      </c>
      <c r="Z29">
        <v>2912944</v>
      </c>
      <c r="AA29">
        <v>0</v>
      </c>
      <c r="AB29">
        <v>727585</v>
      </c>
      <c r="AC29">
        <v>1</v>
      </c>
      <c r="AD29">
        <v>103721</v>
      </c>
      <c r="AE29">
        <v>99.983999999999995</v>
      </c>
      <c r="AH29">
        <v>204420</v>
      </c>
      <c r="AI29">
        <v>0</v>
      </c>
      <c r="AJ29">
        <v>74634</v>
      </c>
      <c r="AK29">
        <v>1</v>
      </c>
      <c r="AL29">
        <v>1087</v>
      </c>
      <c r="AM29">
        <v>99.994</v>
      </c>
      <c r="AP29">
        <v>114904</v>
      </c>
      <c r="AQ29">
        <v>0</v>
      </c>
      <c r="AR29">
        <v>28077</v>
      </c>
      <c r="AS29">
        <v>1</v>
      </c>
      <c r="AT29">
        <v>303</v>
      </c>
      <c r="AU29">
        <v>99.822999999999993</v>
      </c>
    </row>
    <row r="30" spans="1:47">
      <c r="A30" s="19" t="s">
        <v>53</v>
      </c>
      <c r="B30" s="18"/>
      <c r="C30" s="18"/>
      <c r="D30" s="18"/>
      <c r="E30" s="18"/>
      <c r="F30" s="18"/>
      <c r="G30" s="19"/>
      <c r="H30" s="19"/>
      <c r="I30" s="19"/>
      <c r="J30" s="19"/>
      <c r="K30" s="18"/>
      <c r="L30" s="18"/>
      <c r="M30" s="18"/>
      <c r="N30" s="18"/>
      <c r="O30" s="18"/>
      <c r="P30" s="19"/>
      <c r="Q30">
        <v>99.981999999999999</v>
      </c>
      <c r="R30">
        <v>3044568</v>
      </c>
      <c r="S30">
        <v>0</v>
      </c>
      <c r="T30">
        <v>2610337</v>
      </c>
      <c r="U30">
        <v>1</v>
      </c>
      <c r="V30">
        <v>97405</v>
      </c>
      <c r="Z30">
        <v>2912944</v>
      </c>
      <c r="AA30">
        <v>0</v>
      </c>
      <c r="AB30">
        <v>727588</v>
      </c>
      <c r="AC30">
        <v>5</v>
      </c>
      <c r="AD30">
        <v>139414</v>
      </c>
      <c r="AE30">
        <v>82.665000000000006</v>
      </c>
      <c r="AH30">
        <v>204400</v>
      </c>
      <c r="AI30">
        <v>0</v>
      </c>
      <c r="AJ30">
        <v>74632</v>
      </c>
      <c r="AK30">
        <v>1</v>
      </c>
      <c r="AL30">
        <v>1279</v>
      </c>
      <c r="AM30">
        <v>99.995999999999995</v>
      </c>
      <c r="AP30">
        <v>114904</v>
      </c>
      <c r="AQ30">
        <v>0</v>
      </c>
      <c r="AR30">
        <v>28078</v>
      </c>
      <c r="AS30">
        <v>1</v>
      </c>
      <c r="AT30">
        <v>228</v>
      </c>
      <c r="AU30">
        <v>99.977999999999994</v>
      </c>
    </row>
    <row r="31" spans="1:47">
      <c r="A31" s="7" t="s">
        <v>25</v>
      </c>
      <c r="B31" s="31">
        <v>72.92</v>
      </c>
      <c r="C31" s="31">
        <v>70</v>
      </c>
      <c r="D31" s="31">
        <v>92.55</v>
      </c>
      <c r="E31" s="31">
        <v>102.24</v>
      </c>
      <c r="F31" s="31">
        <v>84.12</v>
      </c>
      <c r="G31" s="20">
        <f>MIN(B31:F31)</f>
        <v>70</v>
      </c>
      <c r="H31" s="20">
        <f>MAX(B31:F31)</f>
        <v>102.24</v>
      </c>
      <c r="I31" s="20">
        <f>AVERAGE(B31:F31)</f>
        <v>84.366000000000014</v>
      </c>
      <c r="J31" s="20">
        <f>_xlfn.STDEV.S(B31:F31)</f>
        <v>13.452798221931349</v>
      </c>
      <c r="K31" s="21">
        <f t="shared" ref="K30:K39" si="21">AH8</f>
        <v>164436</v>
      </c>
      <c r="L31" s="21">
        <f t="shared" ref="L31" si="22">AI8</f>
        <v>0</v>
      </c>
      <c r="M31" s="21">
        <f t="shared" ref="M31" si="23">AJ8</f>
        <v>40500.400000000001</v>
      </c>
      <c r="N31" s="21">
        <f t="shared" ref="N31" si="24">AK8</f>
        <v>1.2</v>
      </c>
      <c r="O31" s="21">
        <f t="shared" ref="O31" si="25">AL8</f>
        <v>4480.3999999999996</v>
      </c>
      <c r="P31" s="21">
        <f t="shared" ref="P31" si="26">AM8</f>
        <v>99.508400000000009</v>
      </c>
      <c r="Q31">
        <v>82.798000000000002</v>
      </c>
      <c r="R31">
        <v>3044412</v>
      </c>
      <c r="S31">
        <v>0</v>
      </c>
      <c r="T31">
        <v>2610340</v>
      </c>
      <c r="U31">
        <v>7</v>
      </c>
      <c r="V31">
        <v>177318</v>
      </c>
      <c r="Z31">
        <v>2912992</v>
      </c>
      <c r="AA31">
        <v>0</v>
      </c>
      <c r="AB31">
        <v>727586</v>
      </c>
      <c r="AC31">
        <v>5</v>
      </c>
      <c r="AD31">
        <v>364850</v>
      </c>
      <c r="AE31">
        <v>87.08</v>
      </c>
      <c r="AH31">
        <v>204340</v>
      </c>
      <c r="AI31">
        <v>0</v>
      </c>
      <c r="AJ31">
        <v>74635</v>
      </c>
      <c r="AK31">
        <v>1</v>
      </c>
      <c r="AL31">
        <v>1209</v>
      </c>
      <c r="AM31">
        <v>99.99</v>
      </c>
      <c r="AP31">
        <v>114864</v>
      </c>
      <c r="AQ31">
        <v>0</v>
      </c>
      <c r="AR31">
        <v>28079</v>
      </c>
      <c r="AS31">
        <v>1</v>
      </c>
      <c r="AT31">
        <v>370</v>
      </c>
      <c r="AU31">
        <v>99.977999999999994</v>
      </c>
    </row>
    <row r="32" spans="1:47">
      <c r="A32" s="7" t="s">
        <v>26</v>
      </c>
      <c r="B32" s="31">
        <v>453.11</v>
      </c>
      <c r="C32" s="31">
        <v>449.86</v>
      </c>
      <c r="D32" s="31">
        <v>450.33</v>
      </c>
      <c r="E32" s="31">
        <v>459.56</v>
      </c>
      <c r="F32" s="31">
        <v>445.17</v>
      </c>
      <c r="G32" s="20">
        <f>MIN(B32:F32)</f>
        <v>445.17</v>
      </c>
      <c r="H32" s="20">
        <f>MAX(B32:F32)</f>
        <v>459.56</v>
      </c>
      <c r="I32" s="20">
        <f>AVERAGE(B32:F32)</f>
        <v>451.60599999999994</v>
      </c>
      <c r="J32" s="20">
        <f>_xlfn.STDEV.S(B32:F32)</f>
        <v>5.2826820839418271</v>
      </c>
      <c r="K32" s="21">
        <f>AH14</f>
        <v>171776.8</v>
      </c>
      <c r="L32" s="21">
        <f t="shared" ref="L32:P32" si="27">AI14</f>
        <v>0</v>
      </c>
      <c r="M32" s="21">
        <f t="shared" si="27"/>
        <v>42286.2</v>
      </c>
      <c r="N32" s="21">
        <f t="shared" si="27"/>
        <v>1</v>
      </c>
      <c r="O32" s="21">
        <f t="shared" si="27"/>
        <v>2600.6</v>
      </c>
      <c r="P32" s="21">
        <f t="shared" si="27"/>
        <v>99.989400000000003</v>
      </c>
      <c r="Q32">
        <f>AVERAGE(Q27:Q31)</f>
        <v>96.468400000000003</v>
      </c>
      <c r="R32">
        <f t="shared" ref="R32:AU32" si="28">AVERAGE(R27:R31)</f>
        <v>3044430.4</v>
      </c>
      <c r="S32">
        <f t="shared" si="28"/>
        <v>0</v>
      </c>
      <c r="T32">
        <f t="shared" si="28"/>
        <v>2610338.6</v>
      </c>
      <c r="U32">
        <f t="shared" si="28"/>
        <v>2.2000000000000002</v>
      </c>
      <c r="V32">
        <f t="shared" si="28"/>
        <v>353272.2</v>
      </c>
      <c r="W32" s="106" t="s">
        <v>88</v>
      </c>
      <c r="X32" s="106" t="s">
        <v>88</v>
      </c>
      <c r="Y32" s="106" t="s">
        <v>88</v>
      </c>
      <c r="Z32">
        <f t="shared" si="28"/>
        <v>2912913.6</v>
      </c>
      <c r="AA32">
        <f t="shared" si="28"/>
        <v>0</v>
      </c>
      <c r="AB32">
        <f t="shared" si="28"/>
        <v>727585.6</v>
      </c>
      <c r="AC32">
        <f t="shared" si="28"/>
        <v>2.6</v>
      </c>
      <c r="AD32">
        <f t="shared" si="28"/>
        <v>382419.6</v>
      </c>
      <c r="AE32">
        <f t="shared" si="28"/>
        <v>93.856399999999994</v>
      </c>
      <c r="AF32" s="106" t="s">
        <v>88</v>
      </c>
      <c r="AG32" s="106" t="s">
        <v>88</v>
      </c>
      <c r="AH32">
        <f t="shared" si="28"/>
        <v>204391.2</v>
      </c>
      <c r="AI32">
        <f t="shared" si="28"/>
        <v>0</v>
      </c>
      <c r="AJ32">
        <f t="shared" si="28"/>
        <v>74633.8</v>
      </c>
      <c r="AK32">
        <f t="shared" si="28"/>
        <v>1</v>
      </c>
      <c r="AL32">
        <f t="shared" si="28"/>
        <v>1193.4000000000001</v>
      </c>
      <c r="AM32">
        <f t="shared" si="28"/>
        <v>99.990600000000001</v>
      </c>
      <c r="AN32" s="106" t="s">
        <v>88</v>
      </c>
      <c r="AO32" s="106" t="s">
        <v>88</v>
      </c>
      <c r="AP32">
        <f t="shared" si="28"/>
        <v>114898.4</v>
      </c>
      <c r="AQ32">
        <f t="shared" si="28"/>
        <v>0</v>
      </c>
      <c r="AR32">
        <f t="shared" si="28"/>
        <v>28078.400000000001</v>
      </c>
      <c r="AS32">
        <f t="shared" si="28"/>
        <v>1</v>
      </c>
      <c r="AT32">
        <f t="shared" si="28"/>
        <v>321.60000000000002</v>
      </c>
      <c r="AU32">
        <f t="shared" si="28"/>
        <v>99.946600000000004</v>
      </c>
    </row>
    <row r="33" spans="1:47">
      <c r="A33" s="19" t="s">
        <v>27</v>
      </c>
      <c r="B33" s="32"/>
      <c r="C33" s="32"/>
      <c r="D33" s="32"/>
      <c r="E33" s="32"/>
      <c r="F33" s="32"/>
      <c r="G33" s="19"/>
      <c r="H33" s="19"/>
      <c r="I33" s="19"/>
      <c r="J33" s="19"/>
      <c r="K33" s="18"/>
      <c r="L33" s="18"/>
      <c r="M33" s="18"/>
      <c r="N33" s="18"/>
      <c r="O33" s="18"/>
      <c r="P33" s="18"/>
      <c r="Q33">
        <v>90.712999999999994</v>
      </c>
      <c r="R33">
        <v>3064388</v>
      </c>
      <c r="S33">
        <v>1</v>
      </c>
      <c r="T33">
        <v>765455</v>
      </c>
      <c r="U33">
        <v>7</v>
      </c>
      <c r="V33">
        <v>220278</v>
      </c>
      <c r="Z33">
        <v>2932204</v>
      </c>
      <c r="AA33">
        <v>1</v>
      </c>
      <c r="AB33">
        <v>732432</v>
      </c>
      <c r="AC33">
        <v>3</v>
      </c>
      <c r="AD33">
        <v>85436</v>
      </c>
      <c r="AE33">
        <v>99.995000000000005</v>
      </c>
      <c r="AH33">
        <v>213608</v>
      </c>
      <c r="AI33">
        <v>0</v>
      </c>
      <c r="AJ33">
        <v>52786</v>
      </c>
      <c r="AK33">
        <v>1</v>
      </c>
      <c r="AL33">
        <v>290150</v>
      </c>
      <c r="AM33">
        <v>99.921000000000006</v>
      </c>
      <c r="AP33">
        <v>223976</v>
      </c>
      <c r="AQ33">
        <v>0</v>
      </c>
      <c r="AR33">
        <v>55366</v>
      </c>
      <c r="AS33">
        <v>1</v>
      </c>
      <c r="AT33">
        <v>150025</v>
      </c>
      <c r="AU33">
        <v>99.960999999999999</v>
      </c>
    </row>
    <row r="34" spans="1:47">
      <c r="A34" s="7" t="s">
        <v>25</v>
      </c>
      <c r="B34" s="31">
        <v>320.83</v>
      </c>
      <c r="C34" s="31">
        <v>321.26</v>
      </c>
      <c r="D34" s="31">
        <v>322.02999999999997</v>
      </c>
      <c r="E34" s="31">
        <v>323.58999999999997</v>
      </c>
      <c r="F34" s="31">
        <v>322.36</v>
      </c>
      <c r="G34" s="20">
        <f>MIN(B34:F34)</f>
        <v>320.83</v>
      </c>
      <c r="H34" s="20">
        <f>MAX(B34:F34)</f>
        <v>323.58999999999997</v>
      </c>
      <c r="I34" s="20">
        <f>AVERAGE(B34:F34)</f>
        <v>322.01399999999995</v>
      </c>
      <c r="J34" s="20">
        <f>_xlfn.STDEV.S(B34:F34)</f>
        <v>1.0693596214557548</v>
      </c>
      <c r="K34" s="21">
        <f>AH20</f>
        <v>181926.39999999999</v>
      </c>
      <c r="L34" s="21">
        <f t="shared" ref="L34:P34" si="29">AI20</f>
        <v>0</v>
      </c>
      <c r="M34" s="21">
        <f t="shared" si="29"/>
        <v>48164.6</v>
      </c>
      <c r="N34" s="21">
        <f t="shared" si="29"/>
        <v>1</v>
      </c>
      <c r="O34" s="21">
        <f t="shared" si="29"/>
        <v>1330</v>
      </c>
      <c r="P34" s="21">
        <f t="shared" si="29"/>
        <v>99.992199999999997</v>
      </c>
      <c r="Q34">
        <v>99.991</v>
      </c>
      <c r="R34">
        <v>3064512</v>
      </c>
      <c r="S34">
        <v>0</v>
      </c>
      <c r="T34">
        <v>765456</v>
      </c>
      <c r="U34">
        <v>1</v>
      </c>
      <c r="V34">
        <v>146287</v>
      </c>
      <c r="Z34">
        <v>2932328</v>
      </c>
      <c r="AA34">
        <v>0</v>
      </c>
      <c r="AB34">
        <v>732434</v>
      </c>
      <c r="AC34">
        <v>1</v>
      </c>
      <c r="AD34">
        <v>113392</v>
      </c>
      <c r="AE34">
        <v>99.99</v>
      </c>
      <c r="AH34">
        <v>213468</v>
      </c>
      <c r="AI34">
        <v>0</v>
      </c>
      <c r="AJ34">
        <v>52787</v>
      </c>
      <c r="AK34">
        <v>1</v>
      </c>
      <c r="AL34">
        <v>878233</v>
      </c>
      <c r="AM34">
        <v>99.649000000000001</v>
      </c>
      <c r="AP34">
        <v>224016</v>
      </c>
      <c r="AQ34">
        <v>0</v>
      </c>
      <c r="AR34">
        <v>55367</v>
      </c>
      <c r="AS34">
        <v>1</v>
      </c>
      <c r="AT34">
        <v>661825</v>
      </c>
      <c r="AU34">
        <v>99.751999999999995</v>
      </c>
    </row>
    <row r="35" spans="1:47">
      <c r="A35" s="7" t="s">
        <v>26</v>
      </c>
      <c r="B35" s="31">
        <v>9945.25</v>
      </c>
      <c r="C35" s="31">
        <v>9250.66</v>
      </c>
      <c r="D35" s="31">
        <v>9949.0400000000009</v>
      </c>
      <c r="E35" s="31">
        <v>10138.09</v>
      </c>
      <c r="F35" s="31">
        <v>9972.4500000000007</v>
      </c>
      <c r="G35" s="20">
        <f>MIN(B35:F35)</f>
        <v>9250.66</v>
      </c>
      <c r="H35" s="20">
        <f>MAX(B35:F35)</f>
        <v>10138.09</v>
      </c>
      <c r="I35" s="20">
        <f>AVERAGE(B35:F35)</f>
        <v>9851.0980000000018</v>
      </c>
      <c r="J35" s="20">
        <f>_xlfn.STDEV.S(B35:F35)</f>
        <v>344.99048620215626</v>
      </c>
      <c r="K35" s="21">
        <f>AH26</f>
        <v>189816</v>
      </c>
      <c r="L35" s="21">
        <f t="shared" ref="L35:P35" si="30">AI26</f>
        <v>0</v>
      </c>
      <c r="M35" s="21">
        <f t="shared" si="30"/>
        <v>46837.8</v>
      </c>
      <c r="N35" s="21">
        <f t="shared" si="30"/>
        <v>1</v>
      </c>
      <c r="O35" s="21">
        <f t="shared" si="30"/>
        <v>43951</v>
      </c>
      <c r="P35" s="21">
        <f t="shared" si="30"/>
        <v>99.959800000000001</v>
      </c>
      <c r="Q35">
        <v>99.992000000000004</v>
      </c>
      <c r="R35">
        <v>3064288</v>
      </c>
      <c r="S35">
        <v>0</v>
      </c>
      <c r="T35">
        <v>765451</v>
      </c>
      <c r="U35">
        <v>1</v>
      </c>
      <c r="V35">
        <v>139689</v>
      </c>
      <c r="Z35">
        <v>2932232</v>
      </c>
      <c r="AA35">
        <v>0</v>
      </c>
      <c r="AB35">
        <v>732434</v>
      </c>
      <c r="AC35">
        <v>1</v>
      </c>
      <c r="AD35">
        <v>108272</v>
      </c>
      <c r="AE35">
        <v>99.992999999999995</v>
      </c>
      <c r="AH35">
        <v>213468</v>
      </c>
      <c r="AI35">
        <v>0</v>
      </c>
      <c r="AJ35">
        <v>52789</v>
      </c>
      <c r="AK35">
        <v>2</v>
      </c>
      <c r="AL35">
        <v>127142</v>
      </c>
      <c r="AM35">
        <v>99.938000000000002</v>
      </c>
      <c r="AP35">
        <v>224192</v>
      </c>
      <c r="AQ35">
        <v>0</v>
      </c>
      <c r="AR35">
        <v>55370</v>
      </c>
      <c r="AS35">
        <v>4</v>
      </c>
      <c r="AT35">
        <v>394400</v>
      </c>
      <c r="AU35">
        <v>99.775999999999996</v>
      </c>
    </row>
    <row r="36" spans="1:47">
      <c r="A36" s="19" t="s">
        <v>28</v>
      </c>
      <c r="B36" s="32"/>
      <c r="C36" s="32"/>
      <c r="D36" s="32"/>
      <c r="E36" s="32"/>
      <c r="F36" s="32"/>
      <c r="G36" s="19"/>
      <c r="H36" s="19"/>
      <c r="I36" s="19"/>
      <c r="J36" s="19"/>
      <c r="K36" s="18"/>
      <c r="L36" s="18"/>
      <c r="M36" s="18"/>
      <c r="N36" s="18"/>
      <c r="O36" s="18"/>
      <c r="P36" s="18"/>
      <c r="Q36">
        <v>99.573999999999998</v>
      </c>
      <c r="R36">
        <v>3064388</v>
      </c>
      <c r="S36">
        <v>349183</v>
      </c>
      <c r="T36">
        <v>844994</v>
      </c>
      <c r="U36">
        <v>364475</v>
      </c>
      <c r="V36">
        <v>718834</v>
      </c>
      <c r="Z36">
        <v>2932420</v>
      </c>
      <c r="AA36">
        <v>121214</v>
      </c>
      <c r="AB36">
        <v>762886</v>
      </c>
      <c r="AC36">
        <v>129626</v>
      </c>
      <c r="AD36">
        <v>655096</v>
      </c>
      <c r="AE36">
        <v>99.620999999999995</v>
      </c>
      <c r="AH36">
        <v>213568</v>
      </c>
      <c r="AI36">
        <v>0</v>
      </c>
      <c r="AJ36">
        <v>52786</v>
      </c>
      <c r="AK36">
        <v>2</v>
      </c>
      <c r="AL36">
        <v>137556</v>
      </c>
      <c r="AM36">
        <v>88.141000000000005</v>
      </c>
      <c r="AP36">
        <v>224200</v>
      </c>
      <c r="AQ36">
        <v>0</v>
      </c>
      <c r="AR36">
        <v>55369</v>
      </c>
      <c r="AS36">
        <v>1</v>
      </c>
      <c r="AT36">
        <v>47343</v>
      </c>
      <c r="AU36">
        <v>99.988</v>
      </c>
    </row>
    <row r="37" spans="1:47">
      <c r="A37" s="7" t="s">
        <v>25</v>
      </c>
      <c r="B37" s="31">
        <v>690.34</v>
      </c>
      <c r="C37" s="31">
        <v>677.79</v>
      </c>
      <c r="D37" s="31">
        <v>682.02</v>
      </c>
      <c r="E37" s="31">
        <v>676.1</v>
      </c>
      <c r="F37" s="31">
        <v>677.31</v>
      </c>
      <c r="G37" s="20">
        <f>MIN(B37:F37)</f>
        <v>676.1</v>
      </c>
      <c r="H37" s="20">
        <f>MAX(B37:F37)</f>
        <v>690.34</v>
      </c>
      <c r="I37" s="20">
        <f>AVERAGE(B37:F37)</f>
        <v>680.71199999999999</v>
      </c>
      <c r="J37" s="20">
        <f>_xlfn.STDEV.S(B37:F37)</f>
        <v>5.82648006947593</v>
      </c>
      <c r="K37" s="21">
        <f>AH32</f>
        <v>204391.2</v>
      </c>
      <c r="L37" s="21">
        <f t="shared" ref="L37:P37" si="31">AI32</f>
        <v>0</v>
      </c>
      <c r="M37" s="21">
        <f t="shared" si="31"/>
        <v>74633.8</v>
      </c>
      <c r="N37" s="21">
        <f t="shared" si="31"/>
        <v>1</v>
      </c>
      <c r="O37" s="21">
        <f t="shared" si="31"/>
        <v>1193.4000000000001</v>
      </c>
      <c r="P37" s="21">
        <f t="shared" si="31"/>
        <v>99.990600000000001</v>
      </c>
      <c r="Q37">
        <v>88.366</v>
      </c>
      <c r="R37">
        <v>3064340</v>
      </c>
      <c r="S37">
        <v>0</v>
      </c>
      <c r="T37">
        <v>765463</v>
      </c>
      <c r="U37">
        <v>12</v>
      </c>
      <c r="V37">
        <v>695126</v>
      </c>
      <c r="Z37">
        <v>2932372</v>
      </c>
      <c r="AA37">
        <v>0</v>
      </c>
      <c r="AB37">
        <v>732440</v>
      </c>
      <c r="AC37">
        <v>9</v>
      </c>
      <c r="AD37">
        <v>724775</v>
      </c>
      <c r="AE37">
        <v>87.009</v>
      </c>
      <c r="AH37">
        <v>213448</v>
      </c>
      <c r="AI37">
        <v>0</v>
      </c>
      <c r="AJ37">
        <v>52789</v>
      </c>
      <c r="AK37">
        <v>4</v>
      </c>
      <c r="AL37">
        <v>142324</v>
      </c>
      <c r="AM37">
        <v>88.897999999999996</v>
      </c>
      <c r="AP37">
        <v>224196</v>
      </c>
      <c r="AQ37">
        <v>0</v>
      </c>
      <c r="AR37">
        <v>55368</v>
      </c>
      <c r="AS37">
        <v>4</v>
      </c>
      <c r="AT37">
        <v>152852</v>
      </c>
      <c r="AU37">
        <v>81.328999999999994</v>
      </c>
    </row>
    <row r="38" spans="1:47">
      <c r="A38" s="7" t="s">
        <v>26</v>
      </c>
      <c r="B38" s="31">
        <v>25824.240000000002</v>
      </c>
      <c r="C38" s="31">
        <v>26653.66</v>
      </c>
      <c r="D38" s="31">
        <v>25062.83</v>
      </c>
      <c r="E38" s="31">
        <v>24930.26</v>
      </c>
      <c r="F38" s="31">
        <v>23327.23</v>
      </c>
      <c r="G38" s="20">
        <f>MIN(B38:F38)</f>
        <v>23327.23</v>
      </c>
      <c r="H38" s="20">
        <f>MAX(B38:F38)</f>
        <v>26653.66</v>
      </c>
      <c r="I38" s="20">
        <f>AVERAGE(B38:F38)</f>
        <v>25159.644</v>
      </c>
      <c r="J38" s="20">
        <f>_xlfn.STDEV.S(B38:F38)</f>
        <v>1234.2510572124299</v>
      </c>
      <c r="K38" s="21">
        <f>AH38</f>
        <v>213512</v>
      </c>
      <c r="L38" s="21">
        <f t="shared" ref="L38:P38" si="32">AI38</f>
        <v>0</v>
      </c>
      <c r="M38" s="21">
        <f t="shared" si="32"/>
        <v>52787.4</v>
      </c>
      <c r="N38" s="21">
        <f t="shared" si="32"/>
        <v>2</v>
      </c>
      <c r="O38" s="21">
        <f t="shared" si="32"/>
        <v>315081</v>
      </c>
      <c r="P38" s="21">
        <f t="shared" si="32"/>
        <v>95.309400000000011</v>
      </c>
      <c r="Q38">
        <f>AVERAGE(Q33:Q37)</f>
        <v>95.727200000000011</v>
      </c>
      <c r="R38">
        <f t="shared" ref="R38:AU38" si="33">AVERAGE(R33:R37)</f>
        <v>3064383.2</v>
      </c>
      <c r="S38">
        <f t="shared" si="33"/>
        <v>69836.800000000003</v>
      </c>
      <c r="T38">
        <f t="shared" si="33"/>
        <v>781363.8</v>
      </c>
      <c r="U38">
        <f t="shared" si="33"/>
        <v>72899.199999999997</v>
      </c>
      <c r="V38">
        <f t="shared" si="33"/>
        <v>384042.8</v>
      </c>
      <c r="W38" s="106" t="s">
        <v>88</v>
      </c>
      <c r="X38" s="106" t="s">
        <v>88</v>
      </c>
      <c r="Y38" s="106" t="s">
        <v>88</v>
      </c>
      <c r="Z38">
        <f t="shared" si="33"/>
        <v>2932311.2</v>
      </c>
      <c r="AA38">
        <f t="shared" si="33"/>
        <v>24243</v>
      </c>
      <c r="AB38">
        <f t="shared" si="33"/>
        <v>738525.2</v>
      </c>
      <c r="AC38">
        <f t="shared" si="33"/>
        <v>25928</v>
      </c>
      <c r="AD38">
        <f t="shared" si="33"/>
        <v>337394.2</v>
      </c>
      <c r="AE38">
        <f t="shared" si="33"/>
        <v>97.321600000000004</v>
      </c>
      <c r="AF38" s="106" t="s">
        <v>88</v>
      </c>
      <c r="AG38" s="106" t="s">
        <v>88</v>
      </c>
      <c r="AH38">
        <f t="shared" si="33"/>
        <v>213512</v>
      </c>
      <c r="AI38">
        <f t="shared" si="33"/>
        <v>0</v>
      </c>
      <c r="AJ38">
        <f t="shared" si="33"/>
        <v>52787.4</v>
      </c>
      <c r="AK38">
        <f t="shared" si="33"/>
        <v>2</v>
      </c>
      <c r="AL38">
        <f t="shared" si="33"/>
        <v>315081</v>
      </c>
      <c r="AM38">
        <f t="shared" si="33"/>
        <v>95.309400000000011</v>
      </c>
      <c r="AN38" s="106" t="s">
        <v>88</v>
      </c>
      <c r="AO38" s="106" t="s">
        <v>88</v>
      </c>
      <c r="AP38">
        <f t="shared" si="33"/>
        <v>224116</v>
      </c>
      <c r="AQ38">
        <f t="shared" si="33"/>
        <v>0</v>
      </c>
      <c r="AR38">
        <f t="shared" si="33"/>
        <v>55368</v>
      </c>
      <c r="AS38">
        <f t="shared" si="33"/>
        <v>2.2000000000000002</v>
      </c>
      <c r="AT38">
        <f t="shared" si="33"/>
        <v>281289</v>
      </c>
      <c r="AU38">
        <f t="shared" si="33"/>
        <v>96.161199999999994</v>
      </c>
    </row>
    <row r="39" spans="1:47">
      <c r="A39" s="7"/>
      <c r="B39" s="8" t="s">
        <v>89</v>
      </c>
      <c r="C39" s="8" t="s">
        <v>100</v>
      </c>
      <c r="D39" s="8" t="s">
        <v>101</v>
      </c>
      <c r="E39" s="8" t="s">
        <v>102</v>
      </c>
      <c r="F39" s="8"/>
      <c r="G39" s="4"/>
      <c r="H39" s="4"/>
      <c r="I39" s="4"/>
      <c r="J39" s="4"/>
      <c r="K39" s="4"/>
      <c r="L39" s="4"/>
      <c r="M39" s="4"/>
      <c r="N39" s="4"/>
      <c r="O39" s="4"/>
      <c r="P39" s="38"/>
    </row>
    <row r="40" spans="1:47">
      <c r="A40" s="2" t="s">
        <v>29</v>
      </c>
    </row>
    <row r="41" spans="1:47" ht="15.75">
      <c r="K41" s="26"/>
      <c r="L41" s="26"/>
      <c r="M41" s="27" t="s">
        <v>7</v>
      </c>
      <c r="N41" s="26"/>
      <c r="O41" s="26"/>
      <c r="P41" s="26"/>
    </row>
    <row r="42" spans="1:47" ht="18.75">
      <c r="A42" s="3" t="s">
        <v>32</v>
      </c>
      <c r="B42" s="4" t="s">
        <v>9</v>
      </c>
      <c r="C42" s="4" t="s">
        <v>10</v>
      </c>
      <c r="D42" s="4" t="s">
        <v>11</v>
      </c>
      <c r="E42" s="4" t="s">
        <v>12</v>
      </c>
      <c r="F42" s="4" t="s">
        <v>13</v>
      </c>
      <c r="G42" s="4" t="s">
        <v>14</v>
      </c>
      <c r="H42" s="4" t="s">
        <v>15</v>
      </c>
      <c r="I42" s="4" t="s">
        <v>16</v>
      </c>
      <c r="J42" s="4" t="s">
        <v>17</v>
      </c>
      <c r="K42" s="4" t="s">
        <v>18</v>
      </c>
      <c r="L42" s="4" t="s">
        <v>19</v>
      </c>
      <c r="M42" s="4" t="s">
        <v>20</v>
      </c>
      <c r="N42" s="4" t="s">
        <v>21</v>
      </c>
      <c r="O42" s="4" t="s">
        <v>22</v>
      </c>
      <c r="P42" s="4" t="s">
        <v>87</v>
      </c>
    </row>
    <row r="43" spans="1:47">
      <c r="A43" s="19" t="s">
        <v>24</v>
      </c>
      <c r="B43" s="18"/>
      <c r="C43" s="18"/>
      <c r="D43" s="18"/>
      <c r="E43" s="18"/>
      <c r="F43" s="18"/>
      <c r="G43" s="19"/>
      <c r="H43" s="19"/>
      <c r="I43" s="19"/>
      <c r="J43" s="19"/>
      <c r="K43" s="18"/>
      <c r="L43" s="18"/>
      <c r="M43" s="18"/>
      <c r="N43" s="18"/>
      <c r="O43" s="18"/>
      <c r="P43" s="19"/>
    </row>
    <row r="44" spans="1:47">
      <c r="A44" s="7" t="s">
        <v>25</v>
      </c>
      <c r="B44" s="29">
        <v>6.22</v>
      </c>
      <c r="C44" s="29">
        <v>6.87</v>
      </c>
      <c r="D44" s="29">
        <v>7.69</v>
      </c>
      <c r="E44" s="29">
        <v>7.19</v>
      </c>
      <c r="F44" s="29">
        <v>8.0500000000000007</v>
      </c>
      <c r="G44" s="20">
        <f>MIN(B44:F44)</f>
        <v>6.22</v>
      </c>
      <c r="H44" s="20">
        <f>MAX(B44:F44)</f>
        <v>8.0500000000000007</v>
      </c>
      <c r="I44" s="20">
        <f>AVERAGE(B44:F44)</f>
        <v>7.2040000000000006</v>
      </c>
      <c r="J44" s="20">
        <f>_xlfn.STDEV.S(B44:F44)</f>
        <v>0.71272715677179055</v>
      </c>
      <c r="K44" s="21">
        <f t="shared" ref="K43:K52" si="34">AP8</f>
        <v>19088</v>
      </c>
      <c r="L44" s="21">
        <f t="shared" ref="L44" si="35">AQ8</f>
        <v>0</v>
      </c>
      <c r="M44" s="21">
        <f t="shared" ref="M44" si="36">AR8</f>
        <v>4141.6000000000004</v>
      </c>
      <c r="N44" s="21">
        <f t="shared" ref="N44" si="37">AS8</f>
        <v>1</v>
      </c>
      <c r="O44" s="21">
        <f t="shared" ref="O44" si="38">AT8</f>
        <v>421</v>
      </c>
      <c r="P44" s="21">
        <f t="shared" ref="P44" si="39">AU8</f>
        <v>99.220200000000006</v>
      </c>
    </row>
    <row r="45" spans="1:47">
      <c r="A45" s="7" t="s">
        <v>26</v>
      </c>
      <c r="B45" s="29">
        <v>334.57</v>
      </c>
      <c r="C45" s="29">
        <v>306.45999999999998</v>
      </c>
      <c r="D45" s="29">
        <v>305.35000000000002</v>
      </c>
      <c r="E45" s="29">
        <v>307.19</v>
      </c>
      <c r="F45" s="29">
        <v>306.14</v>
      </c>
      <c r="G45" s="20">
        <f>MIN(B45:F45)</f>
        <v>305.35000000000002</v>
      </c>
      <c r="H45" s="20">
        <f>MAX(B45:F45)</f>
        <v>334.57</v>
      </c>
      <c r="I45" s="20">
        <f>AVERAGE(B45:F45)</f>
        <v>311.94200000000001</v>
      </c>
      <c r="J45" s="20">
        <f>_xlfn.STDEV.S(B45:F45)</f>
        <v>12.666667675438555</v>
      </c>
      <c r="K45" s="21">
        <f>AP14</f>
        <v>34840</v>
      </c>
      <c r="L45" s="21">
        <f t="shared" ref="L45:P45" si="40">AQ14</f>
        <v>0</v>
      </c>
      <c r="M45" s="21">
        <f t="shared" si="40"/>
        <v>8034.4</v>
      </c>
      <c r="N45" s="21">
        <f t="shared" si="40"/>
        <v>1</v>
      </c>
      <c r="O45" s="21">
        <f t="shared" si="40"/>
        <v>3552.2</v>
      </c>
      <c r="P45" s="21">
        <f t="shared" si="40"/>
        <v>99.879600000000011</v>
      </c>
    </row>
    <row r="46" spans="1:47">
      <c r="A46" s="19" t="s">
        <v>27</v>
      </c>
      <c r="B46" s="30"/>
      <c r="C46" s="30"/>
      <c r="D46" s="30"/>
      <c r="E46" s="30"/>
      <c r="F46" s="30"/>
      <c r="G46" s="19"/>
      <c r="H46" s="19"/>
      <c r="I46" s="19"/>
      <c r="J46" s="19"/>
      <c r="K46" s="18"/>
      <c r="L46" s="18"/>
      <c r="M46" s="18"/>
      <c r="N46" s="18"/>
      <c r="O46" s="18"/>
      <c r="P46" s="18"/>
    </row>
    <row r="47" spans="1:47">
      <c r="A47" s="7" t="s">
        <v>25</v>
      </c>
      <c r="B47" s="29">
        <v>28.13</v>
      </c>
      <c r="C47" s="29">
        <v>28.67</v>
      </c>
      <c r="D47" s="29">
        <v>28.32</v>
      </c>
      <c r="E47" s="29">
        <v>28.1</v>
      </c>
      <c r="F47" s="29">
        <v>28.02</v>
      </c>
      <c r="G47" s="20">
        <f>MIN(B47:F47)</f>
        <v>28.02</v>
      </c>
      <c r="H47" s="20">
        <f>MAX(B47:F47)</f>
        <v>28.67</v>
      </c>
      <c r="I47" s="20">
        <f>AVERAGE(B47:F47)</f>
        <v>28.248000000000001</v>
      </c>
      <c r="J47" s="20">
        <f>_xlfn.STDEV.S(B47:F47)</f>
        <v>0.26032671779900035</v>
      </c>
      <c r="K47" s="21">
        <f>AP20</f>
        <v>77212.800000000003</v>
      </c>
      <c r="L47" s="21">
        <f t="shared" ref="L47:P47" si="41">AQ20</f>
        <v>0</v>
      </c>
      <c r="M47" s="21">
        <f t="shared" si="41"/>
        <v>18666.400000000001</v>
      </c>
      <c r="N47" s="21">
        <f t="shared" si="41"/>
        <v>1</v>
      </c>
      <c r="O47" s="21">
        <f t="shared" si="41"/>
        <v>115.6</v>
      </c>
      <c r="P47" s="21">
        <f t="shared" si="41"/>
        <v>99.978800000000007</v>
      </c>
    </row>
    <row r="48" spans="1:47">
      <c r="A48" s="7" t="s">
        <v>26</v>
      </c>
      <c r="B48" s="29">
        <v>10102</v>
      </c>
      <c r="C48" s="29">
        <v>10965</v>
      </c>
      <c r="D48" s="29">
        <v>10167</v>
      </c>
      <c r="E48" s="29">
        <v>10388</v>
      </c>
      <c r="F48" s="29">
        <v>10110</v>
      </c>
      <c r="G48" s="20">
        <f>MIN(B48:F48)</f>
        <v>10102</v>
      </c>
      <c r="H48" s="20">
        <f>MAX(B48:F48)</f>
        <v>10965</v>
      </c>
      <c r="I48" s="20">
        <f>AVERAGE(B48:F48)</f>
        <v>10346.4</v>
      </c>
      <c r="J48" s="20">
        <f>_xlfn.STDEV.S(B48:F48)</f>
        <v>364.7592356610042</v>
      </c>
      <c r="K48" s="21">
        <f>AP26</f>
        <v>149642.4</v>
      </c>
      <c r="L48" s="21">
        <f t="shared" ref="L48:P48" si="42">AQ26</f>
        <v>0</v>
      </c>
      <c r="M48" s="21">
        <f t="shared" si="42"/>
        <v>36747</v>
      </c>
      <c r="N48" s="21">
        <f t="shared" si="42"/>
        <v>1</v>
      </c>
      <c r="O48" s="21">
        <f t="shared" si="42"/>
        <v>55580.4</v>
      </c>
      <c r="P48" s="21">
        <f t="shared" si="42"/>
        <v>99.965199999999996</v>
      </c>
    </row>
    <row r="49" spans="1:17">
      <c r="A49" s="19" t="s">
        <v>28</v>
      </c>
      <c r="B49" s="30"/>
      <c r="C49" s="30"/>
      <c r="D49" s="30"/>
      <c r="E49" s="30"/>
      <c r="F49" s="30"/>
      <c r="G49" s="19"/>
      <c r="H49" s="19"/>
      <c r="I49" s="19"/>
      <c r="J49" s="19"/>
      <c r="K49" s="18"/>
      <c r="L49" s="18"/>
      <c r="M49" s="18"/>
      <c r="N49" s="18"/>
      <c r="O49" s="18"/>
      <c r="P49" s="18"/>
    </row>
    <row r="50" spans="1:17">
      <c r="A50" s="7" t="s">
        <v>25</v>
      </c>
      <c r="B50" s="29">
        <v>44.01</v>
      </c>
      <c r="C50" s="29">
        <v>44.05</v>
      </c>
      <c r="D50" s="29">
        <v>45.25</v>
      </c>
      <c r="E50" s="29">
        <v>45.03</v>
      </c>
      <c r="F50" s="29">
        <v>44.81</v>
      </c>
      <c r="G50" s="20">
        <f>MIN(B50:F50)</f>
        <v>44.01</v>
      </c>
      <c r="H50" s="20">
        <f>MAX(B50:F50)</f>
        <v>45.25</v>
      </c>
      <c r="I50" s="20">
        <f>AVERAGE(B50:F50)</f>
        <v>44.63</v>
      </c>
      <c r="J50" s="20">
        <f>_xlfn.STDEV.S(B50:F50)</f>
        <v>0.56956123463592734</v>
      </c>
      <c r="K50" s="21">
        <f>AP32</f>
        <v>114898.4</v>
      </c>
      <c r="L50" s="21">
        <f t="shared" ref="L50:P50" si="43">AQ32</f>
        <v>0</v>
      </c>
      <c r="M50" s="21">
        <f t="shared" si="43"/>
        <v>28078.400000000001</v>
      </c>
      <c r="N50" s="21">
        <f t="shared" si="43"/>
        <v>1</v>
      </c>
      <c r="O50" s="21">
        <f t="shared" si="43"/>
        <v>321.60000000000002</v>
      </c>
      <c r="P50" s="21">
        <f t="shared" si="43"/>
        <v>99.946600000000004</v>
      </c>
    </row>
    <row r="51" spans="1:17">
      <c r="A51" s="7" t="s">
        <v>26</v>
      </c>
      <c r="B51" s="29">
        <v>24074</v>
      </c>
      <c r="C51" s="29">
        <v>25361</v>
      </c>
      <c r="D51" s="29">
        <v>24256</v>
      </c>
      <c r="E51" s="29">
        <v>23729</v>
      </c>
      <c r="F51" s="29">
        <v>29032</v>
      </c>
      <c r="G51" s="20">
        <f>MIN(B51:F51)</f>
        <v>23729</v>
      </c>
      <c r="H51" s="20">
        <f>MAX(B51:F51)</f>
        <v>29032</v>
      </c>
      <c r="I51" s="20">
        <f>AVERAGE(B51:F51)</f>
        <v>25290.400000000001</v>
      </c>
      <c r="J51" s="20">
        <f>_xlfn.STDEV.S(B51:F51)</f>
        <v>2178.9984625969796</v>
      </c>
      <c r="K51" s="21">
        <f>AP38</f>
        <v>224116</v>
      </c>
      <c r="L51" s="21">
        <f t="shared" ref="L51:P51" si="44">AQ38</f>
        <v>0</v>
      </c>
      <c r="M51" s="21">
        <f t="shared" si="44"/>
        <v>55368</v>
      </c>
      <c r="N51" s="21">
        <f t="shared" si="44"/>
        <v>2.2000000000000002</v>
      </c>
      <c r="O51" s="21">
        <f t="shared" si="44"/>
        <v>281289</v>
      </c>
      <c r="P51" s="21">
        <f t="shared" si="44"/>
        <v>96.161199999999994</v>
      </c>
    </row>
    <row r="52" spans="1:17">
      <c r="A52" s="7"/>
      <c r="B52" s="8" t="s">
        <v>89</v>
      </c>
      <c r="C52" s="8" t="s">
        <v>103</v>
      </c>
      <c r="D52" s="8" t="s">
        <v>104</v>
      </c>
      <c r="E52" s="8" t="s">
        <v>105</v>
      </c>
      <c r="F52" s="8"/>
      <c r="G52" s="4"/>
      <c r="H52" s="4"/>
      <c r="I52" s="4"/>
      <c r="J52" s="4"/>
      <c r="K52" s="4"/>
      <c r="L52" s="4"/>
      <c r="M52" s="4"/>
      <c r="N52" s="4"/>
      <c r="O52" s="4"/>
      <c r="P52" s="38"/>
    </row>
    <row r="56" spans="1:17">
      <c r="A56" s="2" t="s">
        <v>1</v>
      </c>
      <c r="B56" s="1" t="s">
        <v>33</v>
      </c>
      <c r="D56" t="s">
        <v>34</v>
      </c>
      <c r="L56" s="2"/>
    </row>
    <row r="57" spans="1:17" ht="15.75">
      <c r="D57" t="s">
        <v>35</v>
      </c>
      <c r="F57" t="s">
        <v>36</v>
      </c>
      <c r="K57" s="26"/>
      <c r="L57" s="26"/>
      <c r="M57" s="27" t="s">
        <v>7</v>
      </c>
      <c r="N57" s="26"/>
      <c r="O57" s="26"/>
    </row>
    <row r="58" spans="1:17" ht="18.75">
      <c r="A58" s="3" t="s">
        <v>8</v>
      </c>
      <c r="B58" s="4" t="s">
        <v>9</v>
      </c>
      <c r="C58" s="4" t="s">
        <v>10</v>
      </c>
      <c r="D58" s="4" t="s">
        <v>11</v>
      </c>
      <c r="E58" s="4" t="s">
        <v>12</v>
      </c>
      <c r="F58" s="4" t="s">
        <v>13</v>
      </c>
      <c r="G58" s="4" t="s">
        <v>14</v>
      </c>
      <c r="H58" s="4" t="s">
        <v>15</v>
      </c>
      <c r="I58" s="4" t="s">
        <v>16</v>
      </c>
      <c r="J58" s="4" t="s">
        <v>17</v>
      </c>
      <c r="K58" s="4" t="s">
        <v>18</v>
      </c>
      <c r="L58" s="4" t="s">
        <v>19</v>
      </c>
      <c r="M58" s="4" t="s">
        <v>20</v>
      </c>
      <c r="N58" s="4" t="s">
        <v>21</v>
      </c>
      <c r="O58" s="4" t="s">
        <v>22</v>
      </c>
    </row>
    <row r="59" spans="1:17">
      <c r="A59" s="19" t="s">
        <v>24</v>
      </c>
      <c r="B59" s="18"/>
      <c r="C59" s="18"/>
      <c r="D59" s="18"/>
      <c r="E59" s="18"/>
      <c r="F59" s="18"/>
      <c r="G59" s="19"/>
      <c r="H59" s="19"/>
      <c r="I59" s="19"/>
      <c r="J59" s="19"/>
      <c r="K59" s="18"/>
      <c r="L59" s="18"/>
      <c r="M59" s="18"/>
      <c r="N59" s="18"/>
      <c r="O59" s="18"/>
    </row>
    <row r="60" spans="1:17">
      <c r="A60" s="7" t="s">
        <v>25</v>
      </c>
      <c r="B60" s="8">
        <v>494.63</v>
      </c>
      <c r="C60" s="8">
        <v>484.27</v>
      </c>
      <c r="D60" s="8">
        <v>483.76</v>
      </c>
      <c r="E60" s="8">
        <v>487.05</v>
      </c>
      <c r="F60" s="8">
        <v>488.69</v>
      </c>
      <c r="G60" s="20">
        <f>MIN(B60:F60)</f>
        <v>483.76</v>
      </c>
      <c r="H60" s="20">
        <f>MAX(B60:F60)</f>
        <v>494.63</v>
      </c>
      <c r="I60" s="20">
        <f>AVERAGE(B60:F60)</f>
        <v>487.67999999999995</v>
      </c>
      <c r="J60" s="20">
        <f>_xlfn.STDEV.S(B60:F60)</f>
        <v>4.3793264322267671</v>
      </c>
      <c r="K60" s="21"/>
      <c r="L60" s="21"/>
      <c r="M60" s="21"/>
      <c r="N60" s="21"/>
      <c r="O60" s="21"/>
      <c r="P60" t="s">
        <v>37</v>
      </c>
      <c r="Q60">
        <v>400</v>
      </c>
    </row>
    <row r="61" spans="1:17">
      <c r="A61" s="7" t="s">
        <v>26</v>
      </c>
      <c r="B61" s="8">
        <v>506.29</v>
      </c>
      <c r="C61" s="8">
        <v>509.84</v>
      </c>
      <c r="D61" s="8">
        <v>504.92</v>
      </c>
      <c r="E61" s="8">
        <v>504.42</v>
      </c>
      <c r="F61" s="8">
        <v>505.78</v>
      </c>
      <c r="G61" s="20">
        <f>MIN(B61:F61)</f>
        <v>504.42</v>
      </c>
      <c r="H61" s="20">
        <f>MAX(B61:F61)</f>
        <v>509.84</v>
      </c>
      <c r="I61" s="20">
        <f>AVERAGE(B61:F61)</f>
        <v>506.25</v>
      </c>
      <c r="J61" s="20">
        <f>_xlfn.STDEV.S(B61:F61)</f>
        <v>2.134736517699535</v>
      </c>
      <c r="K61" s="21"/>
      <c r="L61" s="21"/>
      <c r="M61" s="21"/>
      <c r="N61" s="21"/>
      <c r="O61" s="21"/>
    </row>
    <row r="62" spans="1:17">
      <c r="A62" s="19" t="s">
        <v>27</v>
      </c>
      <c r="B62" s="18"/>
      <c r="C62" s="18"/>
      <c r="D62" s="18"/>
      <c r="E62" s="18"/>
      <c r="F62" s="18"/>
      <c r="G62" s="19"/>
      <c r="H62" s="19"/>
      <c r="I62" s="19"/>
      <c r="J62" s="19"/>
      <c r="K62" s="18"/>
      <c r="L62" s="18"/>
      <c r="M62" s="18"/>
      <c r="N62" s="18"/>
      <c r="O62" s="18"/>
    </row>
    <row r="63" spans="1:17">
      <c r="A63" s="7" t="s">
        <v>25</v>
      </c>
      <c r="B63" s="8"/>
      <c r="C63" s="8"/>
      <c r="D63" s="8"/>
      <c r="E63" s="8"/>
      <c r="F63" s="8"/>
      <c r="G63" s="20">
        <f>MIN(B63:F63)</f>
        <v>0</v>
      </c>
      <c r="H63" s="20">
        <f>MAX(B63:F63)</f>
        <v>0</v>
      </c>
      <c r="I63" s="20" t="e">
        <f>AVERAGE(B63:F63)</f>
        <v>#DIV/0!</v>
      </c>
      <c r="J63" s="20" t="e">
        <f>_xlfn.STDEV.S(B63:F63)</f>
        <v>#DIV/0!</v>
      </c>
      <c r="K63" s="21"/>
      <c r="L63" s="21"/>
      <c r="M63" s="21"/>
      <c r="N63" s="21"/>
      <c r="O63" s="21"/>
    </row>
    <row r="64" spans="1:17">
      <c r="A64" s="7" t="s">
        <v>26</v>
      </c>
      <c r="B64" s="8"/>
      <c r="C64" s="8"/>
      <c r="D64" s="8"/>
      <c r="E64" s="8"/>
      <c r="F64" s="8"/>
      <c r="G64" s="20">
        <f>MIN(B64:F64)</f>
        <v>0</v>
      </c>
      <c r="H64" s="20">
        <f>MAX(B64:F64)</f>
        <v>0</v>
      </c>
      <c r="I64" s="20" t="e">
        <f>AVERAGE(B64:F64)</f>
        <v>#DIV/0!</v>
      </c>
      <c r="J64" s="20" t="e">
        <f>_xlfn.STDEV.S(B64:F64)</f>
        <v>#DIV/0!</v>
      </c>
      <c r="K64" s="21"/>
      <c r="L64" s="21"/>
      <c r="M64" s="21"/>
      <c r="N64" s="21"/>
      <c r="O64" s="21"/>
    </row>
    <row r="65" spans="1:15">
      <c r="A65" s="19" t="s">
        <v>28</v>
      </c>
      <c r="B65" s="18"/>
      <c r="C65" s="18"/>
      <c r="D65" s="18"/>
      <c r="E65" s="18"/>
      <c r="F65" s="18"/>
      <c r="G65" s="19"/>
      <c r="H65" s="19"/>
      <c r="I65" s="19"/>
      <c r="J65" s="19"/>
      <c r="K65" s="18"/>
      <c r="L65" s="18"/>
      <c r="M65" s="18"/>
      <c r="N65" s="18"/>
      <c r="O65" s="18"/>
    </row>
    <row r="66" spans="1:15">
      <c r="A66" s="7" t="s">
        <v>25</v>
      </c>
      <c r="B66" s="8"/>
      <c r="C66" s="8"/>
      <c r="D66" s="8"/>
      <c r="E66" s="8"/>
      <c r="F66" s="8"/>
      <c r="G66" s="20">
        <f>MIN(B66:F66)</f>
        <v>0</v>
      </c>
      <c r="H66" s="20">
        <f>MAX(B66:F66)</f>
        <v>0</v>
      </c>
      <c r="I66" s="20" t="e">
        <f>AVERAGE(B66:F66)</f>
        <v>#DIV/0!</v>
      </c>
      <c r="J66" s="20" t="e">
        <f>_xlfn.STDEV.S(B66:F66)</f>
        <v>#DIV/0!</v>
      </c>
      <c r="K66" s="21"/>
      <c r="L66" s="21"/>
      <c r="M66" s="21"/>
      <c r="N66" s="21"/>
      <c r="O66" s="21"/>
    </row>
    <row r="67" spans="1:15">
      <c r="A67" s="7" t="s">
        <v>26</v>
      </c>
      <c r="B67" s="8"/>
      <c r="C67" s="8"/>
      <c r="D67" s="8"/>
      <c r="E67" s="8"/>
      <c r="F67" s="8"/>
      <c r="G67" s="20">
        <f>MIN(B67:F67)</f>
        <v>0</v>
      </c>
      <c r="H67" s="20">
        <f>MAX(B67:F67)</f>
        <v>0</v>
      </c>
      <c r="I67" s="20" t="e">
        <f>AVERAGE(B67:F67)</f>
        <v>#DIV/0!</v>
      </c>
      <c r="J67" s="20" t="e">
        <f>_xlfn.STDEV.S(B67:F67)</f>
        <v>#DIV/0!</v>
      </c>
      <c r="K67" s="21"/>
      <c r="L67" s="21"/>
      <c r="M67" s="21"/>
      <c r="N67" s="21"/>
      <c r="O67" s="21"/>
    </row>
  </sheetData>
  <dataValidations count="1">
    <dataValidation type="whole" allowBlank="1" showInputMessage="1" showErrorMessage="1" sqref="T15:V19" xr:uid="{A7E177BF-0E78-41F9-86DE-5BBF151DE6DB}">
      <formula1>0</formula1>
      <formula2>1111111111</formula2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A544-2C79-4F79-A2E1-D829029326F6}">
  <dimension ref="A1:U66"/>
  <sheetViews>
    <sheetView topLeftCell="F15" workbookViewId="0">
      <selection activeCell="K2" sqref="K2"/>
    </sheetView>
  </sheetViews>
  <sheetFormatPr defaultRowHeight="15"/>
  <cols>
    <col min="1" max="1" width="20.7109375" customWidth="1"/>
    <col min="2" max="9" width="10.7109375" customWidth="1"/>
    <col min="10" max="10" width="19.85546875" customWidth="1"/>
    <col min="11" max="11" width="17.7109375" customWidth="1"/>
    <col min="12" max="15" width="15.7109375" customWidth="1"/>
    <col min="16" max="17" width="10.7109375" customWidth="1"/>
  </cols>
  <sheetData>
    <row r="1" spans="1:21">
      <c r="A1" t="s">
        <v>0</v>
      </c>
      <c r="B1" t="s">
        <v>106</v>
      </c>
    </row>
    <row r="2" spans="1:21">
      <c r="A2" s="2" t="s">
        <v>1</v>
      </c>
      <c r="B2" s="1" t="s">
        <v>107</v>
      </c>
      <c r="L2" s="2"/>
    </row>
    <row r="3" spans="1:21" ht="15.75">
      <c r="K3" s="26"/>
      <c r="L3" s="26"/>
      <c r="M3" s="27" t="s">
        <v>7</v>
      </c>
      <c r="N3" s="26"/>
      <c r="O3" s="26"/>
    </row>
    <row r="4" spans="1:21" ht="18.7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10"/>
      <c r="Q4" s="10"/>
      <c r="R4" s="11"/>
      <c r="S4" s="11"/>
      <c r="T4" s="11"/>
      <c r="U4" s="11"/>
    </row>
    <row r="5" spans="1:21">
      <c r="A5" s="19" t="s">
        <v>24</v>
      </c>
      <c r="B5" s="18"/>
      <c r="C5" s="18"/>
      <c r="D5" s="18"/>
      <c r="E5" s="18"/>
      <c r="F5" s="18"/>
      <c r="G5" s="19"/>
      <c r="H5" s="19"/>
      <c r="I5" s="19"/>
      <c r="J5" s="19"/>
      <c r="K5" s="18"/>
      <c r="L5" s="18"/>
      <c r="M5" s="18"/>
      <c r="N5" s="18"/>
      <c r="O5" s="18"/>
      <c r="P5" s="22"/>
      <c r="Q5" s="22"/>
      <c r="R5" s="16"/>
      <c r="S5" s="16"/>
      <c r="T5" s="16"/>
      <c r="U5" s="16"/>
    </row>
    <row r="6" spans="1:21">
      <c r="A6" s="7" t="s">
        <v>25</v>
      </c>
      <c r="B6" s="8"/>
      <c r="C6" s="8"/>
      <c r="D6" s="8"/>
      <c r="E6" s="8"/>
      <c r="F6" s="8"/>
      <c r="G6" s="20">
        <f>MIN(B6:F6)</f>
        <v>0</v>
      </c>
      <c r="H6" s="20">
        <f>MAX(B6:F6)</f>
        <v>0</v>
      </c>
      <c r="I6" s="20" t="e">
        <f>AVERAGE(B6:F6)</f>
        <v>#DIV/0!</v>
      </c>
      <c r="J6" s="20" t="e">
        <f>_xlfn.STDEV.S(B6:F6)</f>
        <v>#DIV/0!</v>
      </c>
      <c r="K6" s="21"/>
      <c r="L6" s="21"/>
      <c r="M6" s="21"/>
      <c r="N6" s="21"/>
      <c r="O6" s="21"/>
      <c r="P6" s="14"/>
      <c r="Q6" s="14"/>
      <c r="R6" s="23"/>
      <c r="S6" s="23"/>
      <c r="T6" s="23"/>
      <c r="U6" s="23"/>
    </row>
    <row r="7" spans="1:21">
      <c r="A7" s="7" t="s">
        <v>26</v>
      </c>
      <c r="B7" s="8"/>
      <c r="C7" s="8"/>
      <c r="D7" s="8"/>
      <c r="E7" s="8"/>
      <c r="F7" s="8"/>
      <c r="G7" s="20">
        <f>MIN(B7:F7)</f>
        <v>0</v>
      </c>
      <c r="H7" s="20">
        <f>MAX(B7:F7)</f>
        <v>0</v>
      </c>
      <c r="I7" s="20" t="e">
        <f>AVERAGE(B7:F7)</f>
        <v>#DIV/0!</v>
      </c>
      <c r="J7" s="20" t="e">
        <f>_xlfn.STDEV.S(B7:F7)</f>
        <v>#DIV/0!</v>
      </c>
      <c r="K7" s="21"/>
      <c r="L7" s="21"/>
      <c r="M7" s="21"/>
      <c r="N7" s="21"/>
      <c r="O7" s="21"/>
      <c r="P7" s="14"/>
      <c r="Q7" s="14"/>
      <c r="R7" s="23"/>
      <c r="S7" s="23"/>
      <c r="T7" s="23"/>
      <c r="U7" s="23"/>
    </row>
    <row r="8" spans="1:21">
      <c r="A8" s="19" t="s">
        <v>27</v>
      </c>
      <c r="B8" s="18"/>
      <c r="C8" s="18"/>
      <c r="D8" s="18"/>
      <c r="E8" s="18"/>
      <c r="F8" s="18"/>
      <c r="G8" s="19"/>
      <c r="H8" s="19"/>
      <c r="I8" s="19"/>
      <c r="J8" s="19"/>
      <c r="K8" s="18"/>
      <c r="L8" s="18"/>
      <c r="M8" s="18"/>
      <c r="N8" s="18"/>
      <c r="O8" s="18"/>
      <c r="P8" s="22"/>
      <c r="Q8" s="22"/>
      <c r="R8" s="16"/>
      <c r="S8" s="16"/>
      <c r="T8" s="16"/>
      <c r="U8" s="16"/>
    </row>
    <row r="9" spans="1:21">
      <c r="A9" s="7" t="s">
        <v>25</v>
      </c>
      <c r="B9" s="8"/>
      <c r="C9" s="8"/>
      <c r="D9" s="8"/>
      <c r="E9" s="8"/>
      <c r="F9" s="8"/>
      <c r="G9" s="20">
        <f>MIN(B9:F9)</f>
        <v>0</v>
      </c>
      <c r="H9" s="20">
        <f>MAX(B9:F9)</f>
        <v>0</v>
      </c>
      <c r="I9" s="20" t="e">
        <f>AVERAGE(B9:F9)</f>
        <v>#DIV/0!</v>
      </c>
      <c r="J9" s="20" t="e">
        <f>_xlfn.STDEV.S(B9:F9)</f>
        <v>#DIV/0!</v>
      </c>
      <c r="K9" s="21"/>
      <c r="L9" s="21"/>
      <c r="M9" s="21"/>
      <c r="N9" s="21"/>
      <c r="O9" s="21"/>
      <c r="P9" s="14"/>
      <c r="Q9" s="14"/>
      <c r="R9" s="23"/>
      <c r="S9" s="23"/>
      <c r="T9" s="23"/>
      <c r="U9" s="23"/>
    </row>
    <row r="10" spans="1:21">
      <c r="A10" s="7" t="s">
        <v>26</v>
      </c>
      <c r="B10" s="8"/>
      <c r="C10" s="8"/>
      <c r="D10" s="8"/>
      <c r="E10" s="8"/>
      <c r="F10" s="8"/>
      <c r="G10" s="20">
        <f>MIN(B10:F10)</f>
        <v>0</v>
      </c>
      <c r="H10" s="20">
        <f>MAX(B10:F10)</f>
        <v>0</v>
      </c>
      <c r="I10" s="20" t="e">
        <f>AVERAGE(B10:F10)</f>
        <v>#DIV/0!</v>
      </c>
      <c r="J10" s="20" t="e">
        <f>_xlfn.STDEV.S(B10:F10)</f>
        <v>#DIV/0!</v>
      </c>
      <c r="K10" s="21"/>
      <c r="L10" s="21"/>
      <c r="M10" s="21"/>
      <c r="N10" s="21"/>
      <c r="O10" s="21"/>
      <c r="P10" s="14"/>
      <c r="Q10" s="14"/>
      <c r="R10" s="23"/>
      <c r="S10" s="23"/>
      <c r="T10" s="23"/>
      <c r="U10" s="23"/>
    </row>
    <row r="11" spans="1:21">
      <c r="A11" s="19" t="s">
        <v>28</v>
      </c>
      <c r="B11" s="18"/>
      <c r="C11" s="18"/>
      <c r="D11" s="18"/>
      <c r="E11" s="18"/>
      <c r="F11" s="18"/>
      <c r="G11" s="19"/>
      <c r="H11" s="19"/>
      <c r="I11" s="19"/>
      <c r="J11" s="19"/>
      <c r="K11" s="18"/>
      <c r="L11" s="18"/>
      <c r="M11" s="18"/>
      <c r="N11" s="18"/>
      <c r="O11" s="18"/>
      <c r="P11" s="22"/>
      <c r="Q11" s="22"/>
      <c r="R11" s="16"/>
      <c r="S11" s="16"/>
      <c r="T11" s="16"/>
      <c r="U11" s="16"/>
    </row>
    <row r="12" spans="1:21">
      <c r="A12" s="7" t="s">
        <v>25</v>
      </c>
      <c r="B12" s="8"/>
      <c r="C12" s="8"/>
      <c r="D12" s="8"/>
      <c r="E12" s="8"/>
      <c r="F12" s="8"/>
      <c r="G12" s="20">
        <f>MIN(B12:F12)</f>
        <v>0</v>
      </c>
      <c r="H12" s="20">
        <f>MAX(B12:F12)</f>
        <v>0</v>
      </c>
      <c r="I12" s="20" t="e">
        <f>AVERAGE(B12:F12)</f>
        <v>#DIV/0!</v>
      </c>
      <c r="J12" s="20" t="e">
        <f>_xlfn.STDEV.S(B12:F12)</f>
        <v>#DIV/0!</v>
      </c>
      <c r="K12" s="21"/>
      <c r="L12" s="21"/>
      <c r="M12" s="21"/>
      <c r="N12" s="21"/>
      <c r="O12" s="21"/>
      <c r="P12" s="14"/>
      <c r="Q12" s="14"/>
      <c r="R12" s="23"/>
      <c r="S12" s="23"/>
      <c r="T12" s="23"/>
      <c r="U12" s="23"/>
    </row>
    <row r="13" spans="1:21">
      <c r="A13" s="7" t="s">
        <v>26</v>
      </c>
      <c r="B13" s="8"/>
      <c r="C13" s="8"/>
      <c r="D13" s="8"/>
      <c r="E13" s="8"/>
      <c r="F13" s="8"/>
      <c r="G13" s="20">
        <f>MIN(B13:F13)</f>
        <v>0</v>
      </c>
      <c r="H13" s="20">
        <f>MAX(B13:F13)</f>
        <v>0</v>
      </c>
      <c r="I13" s="20" t="e">
        <f>AVERAGE(B13:F13)</f>
        <v>#DIV/0!</v>
      </c>
      <c r="J13" s="20" t="e">
        <f>_xlfn.STDEV.S(B13:F13)</f>
        <v>#DIV/0!</v>
      </c>
      <c r="K13" s="21"/>
      <c r="L13" s="21"/>
      <c r="M13" s="21"/>
      <c r="N13" s="21"/>
      <c r="O13" s="21"/>
      <c r="P13" s="14"/>
      <c r="Q13" s="14"/>
      <c r="R13" s="23"/>
      <c r="S13" s="23"/>
      <c r="T13" s="23"/>
      <c r="U13" s="23"/>
    </row>
    <row r="15" spans="1:21">
      <c r="A15" s="2" t="s">
        <v>29</v>
      </c>
      <c r="L15" s="2"/>
    </row>
    <row r="16" spans="1:21" ht="15.75">
      <c r="K16" s="26"/>
      <c r="L16" s="26"/>
      <c r="M16" s="27" t="s">
        <v>7</v>
      </c>
      <c r="N16" s="26"/>
      <c r="O16" s="26"/>
    </row>
    <row r="17" spans="1:15" ht="18.75">
      <c r="A17" s="3" t="s">
        <v>30</v>
      </c>
      <c r="B17" s="4" t="s">
        <v>9</v>
      </c>
      <c r="C17" s="4" t="s">
        <v>10</v>
      </c>
      <c r="D17" s="4" t="s">
        <v>11</v>
      </c>
      <c r="E17" s="4" t="s">
        <v>12</v>
      </c>
      <c r="F17" s="4" t="s">
        <v>13</v>
      </c>
      <c r="G17" s="4" t="s">
        <v>14</v>
      </c>
      <c r="H17" s="4" t="s">
        <v>15</v>
      </c>
      <c r="I17" s="4" t="s">
        <v>16</v>
      </c>
      <c r="J17" s="4" t="s">
        <v>17</v>
      </c>
      <c r="K17" s="4" t="s">
        <v>18</v>
      </c>
      <c r="L17" s="4" t="s">
        <v>19</v>
      </c>
      <c r="M17" s="4" t="s">
        <v>20</v>
      </c>
      <c r="N17" s="4" t="s">
        <v>21</v>
      </c>
      <c r="O17" s="4" t="s">
        <v>22</v>
      </c>
    </row>
    <row r="18" spans="1:15">
      <c r="A18" s="19" t="s">
        <v>53</v>
      </c>
      <c r="B18" s="18"/>
      <c r="C18" s="18"/>
      <c r="D18" s="18"/>
      <c r="E18" s="18"/>
      <c r="F18" s="18"/>
      <c r="G18" s="19"/>
      <c r="H18" s="19"/>
      <c r="I18" s="19"/>
      <c r="J18" s="19"/>
      <c r="K18" s="18"/>
      <c r="L18" s="18"/>
      <c r="M18" s="18"/>
      <c r="N18" s="18"/>
      <c r="O18" s="18"/>
    </row>
    <row r="19" spans="1:15">
      <c r="A19" s="7" t="s">
        <v>25</v>
      </c>
      <c r="B19" s="8"/>
      <c r="C19" s="8"/>
      <c r="D19" s="8"/>
      <c r="E19" s="8"/>
      <c r="F19" s="8"/>
      <c r="G19" s="20">
        <f>MIN(B19:F19)</f>
        <v>0</v>
      </c>
      <c r="H19" s="20">
        <f>MAX(B19:F19)</f>
        <v>0</v>
      </c>
      <c r="I19" s="20" t="e">
        <f>AVERAGE(B19:F19)</f>
        <v>#DIV/0!</v>
      </c>
      <c r="J19" s="20" t="e">
        <f>_xlfn.STDEV.S(B19:F19)</f>
        <v>#DIV/0!</v>
      </c>
      <c r="K19" s="21"/>
      <c r="L19" s="21"/>
      <c r="M19" s="21"/>
      <c r="N19" s="21"/>
      <c r="O19" s="21"/>
    </row>
    <row r="20" spans="1:15">
      <c r="A20" s="7" t="s">
        <v>26</v>
      </c>
      <c r="B20" s="8"/>
      <c r="C20" s="8"/>
      <c r="D20" s="8"/>
      <c r="E20" s="8"/>
      <c r="F20" s="8"/>
      <c r="G20" s="20">
        <f>MIN(B20:F20)</f>
        <v>0</v>
      </c>
      <c r="H20" s="20">
        <f>MAX(B20:F20)</f>
        <v>0</v>
      </c>
      <c r="I20" s="20" t="e">
        <f>AVERAGE(B20:F20)</f>
        <v>#DIV/0!</v>
      </c>
      <c r="J20" s="20" t="e">
        <f>_xlfn.STDEV.S(B20:F20)</f>
        <v>#DIV/0!</v>
      </c>
      <c r="K20" s="21"/>
      <c r="L20" s="21"/>
      <c r="M20" s="21"/>
      <c r="N20" s="21"/>
      <c r="O20" s="21"/>
    </row>
    <row r="21" spans="1:15">
      <c r="A21" s="19" t="s">
        <v>27</v>
      </c>
      <c r="B21" s="18"/>
      <c r="C21" s="18"/>
      <c r="D21" s="18"/>
      <c r="E21" s="18"/>
      <c r="F21" s="18"/>
      <c r="G21" s="19"/>
      <c r="H21" s="19"/>
      <c r="I21" s="19"/>
      <c r="J21" s="19"/>
      <c r="K21" s="18"/>
      <c r="L21" s="18"/>
      <c r="M21" s="18"/>
      <c r="N21" s="18"/>
      <c r="O21" s="18"/>
    </row>
    <row r="22" spans="1:15">
      <c r="A22" s="7" t="s">
        <v>25</v>
      </c>
      <c r="B22" s="8"/>
      <c r="C22" s="8"/>
      <c r="D22" s="8"/>
      <c r="E22" s="8"/>
      <c r="F22" s="8"/>
      <c r="G22" s="20">
        <f>MIN(B22:F22)</f>
        <v>0</v>
      </c>
      <c r="H22" s="20">
        <f>MAX(B22:F22)</f>
        <v>0</v>
      </c>
      <c r="I22" s="20" t="e">
        <f>AVERAGE(B22:F22)</f>
        <v>#DIV/0!</v>
      </c>
      <c r="J22" s="20" t="e">
        <f>_xlfn.STDEV.S(B22:F22)</f>
        <v>#DIV/0!</v>
      </c>
      <c r="K22" s="21"/>
      <c r="L22" s="21"/>
      <c r="M22" s="21"/>
      <c r="N22" s="21"/>
      <c r="O22" s="21"/>
    </row>
    <row r="23" spans="1:15">
      <c r="A23" s="7" t="s">
        <v>26</v>
      </c>
      <c r="B23" s="8"/>
      <c r="C23" s="8"/>
      <c r="D23" s="8"/>
      <c r="E23" s="8"/>
      <c r="F23" s="8"/>
      <c r="G23" s="20">
        <f>MIN(B23:F23)</f>
        <v>0</v>
      </c>
      <c r="H23" s="20">
        <f>MAX(B23:F23)</f>
        <v>0</v>
      </c>
      <c r="I23" s="20" t="e">
        <f>AVERAGE(B23:F23)</f>
        <v>#DIV/0!</v>
      </c>
      <c r="J23" s="20" t="e">
        <f>_xlfn.STDEV.S(B23:F23)</f>
        <v>#DIV/0!</v>
      </c>
      <c r="K23" s="21"/>
      <c r="L23" s="21"/>
      <c r="M23" s="21"/>
      <c r="N23" s="21"/>
      <c r="O23" s="21"/>
    </row>
    <row r="24" spans="1:15">
      <c r="A24" s="19" t="s">
        <v>28</v>
      </c>
      <c r="B24" s="18"/>
      <c r="C24" s="18"/>
      <c r="D24" s="18"/>
      <c r="E24" s="18"/>
      <c r="F24" s="18"/>
      <c r="G24" s="19"/>
      <c r="H24" s="19"/>
      <c r="I24" s="19"/>
      <c r="J24" s="19"/>
      <c r="K24" s="18"/>
      <c r="L24" s="18"/>
      <c r="M24" s="18"/>
      <c r="N24" s="18"/>
      <c r="O24" s="18"/>
    </row>
    <row r="25" spans="1:15">
      <c r="A25" s="7" t="s">
        <v>25</v>
      </c>
      <c r="B25" s="8"/>
      <c r="C25" s="8"/>
      <c r="D25" s="8"/>
      <c r="E25" s="8"/>
      <c r="F25" s="8"/>
      <c r="G25" s="20">
        <f>MIN(B25:F25)</f>
        <v>0</v>
      </c>
      <c r="H25" s="20">
        <f>MAX(B25:F25)</f>
        <v>0</v>
      </c>
      <c r="I25" s="20" t="e">
        <f>AVERAGE(B25:F25)</f>
        <v>#DIV/0!</v>
      </c>
      <c r="J25" s="20" t="e">
        <f>_xlfn.STDEV.S(B25:F25)</f>
        <v>#DIV/0!</v>
      </c>
      <c r="K25" s="21"/>
      <c r="L25" s="21"/>
      <c r="M25" s="21"/>
      <c r="N25" s="21"/>
      <c r="O25" s="21"/>
    </row>
    <row r="26" spans="1:15">
      <c r="A26" s="7" t="s">
        <v>26</v>
      </c>
      <c r="B26" s="8"/>
      <c r="C26" s="8"/>
      <c r="D26" s="8"/>
      <c r="E26" s="8"/>
      <c r="F26" s="8"/>
      <c r="G26" s="20">
        <f>MIN(B26:F26)</f>
        <v>0</v>
      </c>
      <c r="H26" s="20">
        <f>MAX(B26:F26)</f>
        <v>0</v>
      </c>
      <c r="I26" s="20" t="e">
        <f>AVERAGE(B26:F26)</f>
        <v>#DIV/0!</v>
      </c>
      <c r="J26" s="20" t="e">
        <f>_xlfn.STDEV.S(B26:F26)</f>
        <v>#DIV/0!</v>
      </c>
      <c r="K26" s="21"/>
      <c r="L26" s="21"/>
      <c r="M26" s="21"/>
      <c r="N26" s="21"/>
      <c r="O26" s="21"/>
    </row>
    <row r="28" spans="1:15">
      <c r="A28" s="2" t="s">
        <v>29</v>
      </c>
    </row>
    <row r="29" spans="1:15" ht="15.75">
      <c r="K29" s="26"/>
      <c r="L29" s="26"/>
      <c r="M29" s="27" t="s">
        <v>7</v>
      </c>
      <c r="N29" s="26"/>
      <c r="O29" s="26"/>
    </row>
    <row r="30" spans="1:15" ht="18.75">
      <c r="A30" s="3" t="s">
        <v>31</v>
      </c>
      <c r="B30" s="4" t="s">
        <v>9</v>
      </c>
      <c r="C30" s="4" t="s">
        <v>10</v>
      </c>
      <c r="D30" s="4" t="s">
        <v>11</v>
      </c>
      <c r="E30" s="4" t="s">
        <v>12</v>
      </c>
      <c r="F30" s="4" t="s">
        <v>13</v>
      </c>
      <c r="G30" s="4" t="s">
        <v>14</v>
      </c>
      <c r="H30" s="4" t="s">
        <v>15</v>
      </c>
      <c r="I30" s="4" t="s">
        <v>16</v>
      </c>
      <c r="J30" s="4" t="s">
        <v>17</v>
      </c>
      <c r="K30" s="4" t="s">
        <v>18</v>
      </c>
      <c r="L30" s="4" t="s">
        <v>19</v>
      </c>
      <c r="M30" s="4" t="s">
        <v>20</v>
      </c>
      <c r="N30" s="4" t="s">
        <v>21</v>
      </c>
      <c r="O30" s="4" t="s">
        <v>22</v>
      </c>
    </row>
    <row r="31" spans="1:15">
      <c r="A31" s="19" t="s">
        <v>53</v>
      </c>
      <c r="B31" s="18"/>
      <c r="C31" s="18"/>
      <c r="D31" s="18"/>
      <c r="E31" s="18"/>
      <c r="F31" s="18"/>
      <c r="G31" s="19"/>
      <c r="H31" s="19"/>
      <c r="I31" s="19"/>
      <c r="J31" s="19"/>
      <c r="K31" s="18"/>
      <c r="L31" s="18"/>
      <c r="M31" s="18"/>
      <c r="N31" s="18"/>
      <c r="O31" s="18"/>
    </row>
    <row r="32" spans="1:15">
      <c r="A32" s="7" t="s">
        <v>25</v>
      </c>
      <c r="B32" s="8"/>
      <c r="C32" s="8"/>
      <c r="D32" s="8"/>
      <c r="E32" s="8"/>
      <c r="F32" s="8"/>
      <c r="G32" s="20">
        <f>MIN(B32:F32)</f>
        <v>0</v>
      </c>
      <c r="H32" s="20">
        <f>MAX(B32:F32)</f>
        <v>0</v>
      </c>
      <c r="I32" s="20" t="e">
        <f>AVERAGE(B32:F32)</f>
        <v>#DIV/0!</v>
      </c>
      <c r="J32" s="20" t="e">
        <f>_xlfn.STDEV.S(B32:F32)</f>
        <v>#DIV/0!</v>
      </c>
      <c r="K32" s="21"/>
      <c r="L32" s="21"/>
      <c r="M32" s="21"/>
      <c r="N32" s="21"/>
      <c r="O32" s="21"/>
    </row>
    <row r="33" spans="1:15">
      <c r="A33" s="7" t="s">
        <v>26</v>
      </c>
      <c r="B33" s="8"/>
      <c r="C33" s="8"/>
      <c r="D33" s="8"/>
      <c r="E33" s="8"/>
      <c r="F33" s="8"/>
      <c r="G33" s="20">
        <f>MIN(B33:F33)</f>
        <v>0</v>
      </c>
      <c r="H33" s="20">
        <f>MAX(B33:F33)</f>
        <v>0</v>
      </c>
      <c r="I33" s="20" t="e">
        <f>AVERAGE(B33:F33)</f>
        <v>#DIV/0!</v>
      </c>
      <c r="J33" s="20" t="e">
        <f>_xlfn.STDEV.S(B33:F33)</f>
        <v>#DIV/0!</v>
      </c>
      <c r="K33" s="21"/>
      <c r="L33" s="21"/>
      <c r="M33" s="21"/>
      <c r="N33" s="21"/>
      <c r="O33" s="21"/>
    </row>
    <row r="34" spans="1:15">
      <c r="A34" s="19" t="s">
        <v>27</v>
      </c>
      <c r="B34" s="18"/>
      <c r="C34" s="18"/>
      <c r="D34" s="18"/>
      <c r="E34" s="18"/>
      <c r="F34" s="18"/>
      <c r="G34" s="19"/>
      <c r="H34" s="19"/>
      <c r="I34" s="19"/>
      <c r="J34" s="19"/>
      <c r="K34" s="18"/>
      <c r="L34" s="18"/>
      <c r="M34" s="18"/>
      <c r="N34" s="18"/>
      <c r="O34" s="18"/>
    </row>
    <row r="35" spans="1:15">
      <c r="A35" s="7" t="s">
        <v>25</v>
      </c>
      <c r="B35" s="8"/>
      <c r="C35" s="8"/>
      <c r="D35" s="8"/>
      <c r="E35" s="8"/>
      <c r="F35" s="8"/>
      <c r="G35" s="20">
        <f>MIN(B35:F35)</f>
        <v>0</v>
      </c>
      <c r="H35" s="20">
        <f>MAX(B35:F35)</f>
        <v>0</v>
      </c>
      <c r="I35" s="20" t="e">
        <f>AVERAGE(B35:F35)</f>
        <v>#DIV/0!</v>
      </c>
      <c r="J35" s="20" t="e">
        <f>_xlfn.STDEV.S(B35:F35)</f>
        <v>#DIV/0!</v>
      </c>
      <c r="K35" s="21"/>
      <c r="L35" s="21"/>
      <c r="M35" s="21"/>
      <c r="N35" s="21"/>
      <c r="O35" s="21"/>
    </row>
    <row r="36" spans="1:15">
      <c r="A36" s="7" t="s">
        <v>26</v>
      </c>
      <c r="B36" s="8"/>
      <c r="C36" s="8"/>
      <c r="D36" s="8"/>
      <c r="E36" s="8"/>
      <c r="F36" s="8"/>
      <c r="G36" s="20">
        <f>MIN(B36:F36)</f>
        <v>0</v>
      </c>
      <c r="H36" s="20">
        <f>MAX(B36:F36)</f>
        <v>0</v>
      </c>
      <c r="I36" s="20" t="e">
        <f>AVERAGE(B36:F36)</f>
        <v>#DIV/0!</v>
      </c>
      <c r="J36" s="20" t="e">
        <f>_xlfn.STDEV.S(B36:F36)</f>
        <v>#DIV/0!</v>
      </c>
      <c r="K36" s="21"/>
      <c r="L36" s="21"/>
      <c r="M36" s="21"/>
      <c r="N36" s="21"/>
      <c r="O36" s="21"/>
    </row>
    <row r="37" spans="1:15">
      <c r="A37" s="19" t="s">
        <v>28</v>
      </c>
      <c r="B37" s="18"/>
      <c r="C37" s="18"/>
      <c r="D37" s="18"/>
      <c r="E37" s="18"/>
      <c r="F37" s="18"/>
      <c r="G37" s="19"/>
      <c r="H37" s="19"/>
      <c r="I37" s="19"/>
      <c r="J37" s="19"/>
      <c r="K37" s="18"/>
      <c r="L37" s="18"/>
      <c r="M37" s="18"/>
      <c r="N37" s="18"/>
      <c r="O37" s="18"/>
    </row>
    <row r="38" spans="1:15">
      <c r="A38" s="7" t="s">
        <v>25</v>
      </c>
      <c r="B38" s="8"/>
      <c r="C38" s="8"/>
      <c r="D38" s="8"/>
      <c r="E38" s="8"/>
      <c r="F38" s="8"/>
      <c r="G38" s="20">
        <f>MIN(B38:F38)</f>
        <v>0</v>
      </c>
      <c r="H38" s="20">
        <f>MAX(B38:F38)</f>
        <v>0</v>
      </c>
      <c r="I38" s="20" t="e">
        <f>AVERAGE(B38:F38)</f>
        <v>#DIV/0!</v>
      </c>
      <c r="J38" s="20" t="e">
        <f>_xlfn.STDEV.S(B38:F38)</f>
        <v>#DIV/0!</v>
      </c>
      <c r="K38" s="21"/>
      <c r="L38" s="21"/>
      <c r="M38" s="21"/>
      <c r="N38" s="21"/>
      <c r="O38" s="21"/>
    </row>
    <row r="39" spans="1:15">
      <c r="A39" s="7" t="s">
        <v>26</v>
      </c>
      <c r="B39" s="8"/>
      <c r="C39" s="8"/>
      <c r="D39" s="8"/>
      <c r="E39" s="8"/>
      <c r="F39" s="8"/>
      <c r="G39" s="20">
        <f>MIN(B39:F39)</f>
        <v>0</v>
      </c>
      <c r="H39" s="20">
        <f>MAX(B39:F39)</f>
        <v>0</v>
      </c>
      <c r="I39" s="20" t="e">
        <f>AVERAGE(B39:F39)</f>
        <v>#DIV/0!</v>
      </c>
      <c r="J39" s="20" t="e">
        <f>_xlfn.STDEV.S(B39:F39)</f>
        <v>#DIV/0!</v>
      </c>
      <c r="K39" s="21"/>
      <c r="L39" s="21"/>
      <c r="M39" s="21"/>
      <c r="N39" s="21"/>
      <c r="O39" s="21"/>
    </row>
    <row r="41" spans="1:15">
      <c r="A41" s="2" t="s">
        <v>29</v>
      </c>
    </row>
    <row r="42" spans="1:15" ht="15.75">
      <c r="K42" s="26"/>
      <c r="L42" s="26"/>
      <c r="M42" s="27" t="s">
        <v>7</v>
      </c>
      <c r="N42" s="26"/>
      <c r="O42" s="26"/>
    </row>
    <row r="43" spans="1:15" ht="18.75">
      <c r="A43" s="3" t="s">
        <v>32</v>
      </c>
      <c r="B43" s="4" t="s">
        <v>9</v>
      </c>
      <c r="C43" s="4" t="s">
        <v>10</v>
      </c>
      <c r="D43" s="4" t="s">
        <v>11</v>
      </c>
      <c r="E43" s="4" t="s">
        <v>12</v>
      </c>
      <c r="F43" s="4" t="s">
        <v>13</v>
      </c>
      <c r="G43" s="4" t="s">
        <v>14</v>
      </c>
      <c r="H43" s="4" t="s">
        <v>15</v>
      </c>
      <c r="I43" s="4" t="s">
        <v>16</v>
      </c>
      <c r="J43" s="4" t="s">
        <v>17</v>
      </c>
      <c r="K43" s="4" t="s">
        <v>18</v>
      </c>
      <c r="L43" s="4" t="s">
        <v>19</v>
      </c>
      <c r="M43" s="4" t="s">
        <v>20</v>
      </c>
      <c r="N43" s="4" t="s">
        <v>21</v>
      </c>
      <c r="O43" s="4" t="s">
        <v>22</v>
      </c>
    </row>
    <row r="44" spans="1:15">
      <c r="A44" s="19" t="s">
        <v>24</v>
      </c>
      <c r="B44" s="18"/>
      <c r="C44" s="18"/>
      <c r="D44" s="18"/>
      <c r="E44" s="18"/>
      <c r="F44" s="18"/>
      <c r="G44" s="19"/>
      <c r="H44" s="19"/>
      <c r="I44" s="19"/>
      <c r="J44" s="19"/>
      <c r="K44" s="18"/>
      <c r="L44" s="18"/>
      <c r="M44" s="18"/>
      <c r="N44" s="18"/>
      <c r="O44" s="18"/>
    </row>
    <row r="45" spans="1:15">
      <c r="A45" s="7" t="s">
        <v>25</v>
      </c>
      <c r="B45" s="8"/>
      <c r="C45" s="8"/>
      <c r="D45" s="8"/>
      <c r="E45" s="8"/>
      <c r="F45" s="8"/>
      <c r="G45" s="20">
        <f>MIN(B45:F45)</f>
        <v>0</v>
      </c>
      <c r="H45" s="20">
        <f>MAX(B45:F45)</f>
        <v>0</v>
      </c>
      <c r="I45" s="20" t="e">
        <f>AVERAGE(B45:F45)</f>
        <v>#DIV/0!</v>
      </c>
      <c r="J45" s="20" t="e">
        <f>_xlfn.STDEV.S(B45:F45)</f>
        <v>#DIV/0!</v>
      </c>
      <c r="K45" s="21"/>
      <c r="L45" s="21"/>
      <c r="M45" s="21"/>
      <c r="N45" s="21"/>
      <c r="O45" s="21"/>
    </row>
    <row r="46" spans="1:15">
      <c r="A46" s="7" t="s">
        <v>26</v>
      </c>
      <c r="B46" s="8"/>
      <c r="C46" s="8"/>
      <c r="D46" s="8"/>
      <c r="E46" s="8"/>
      <c r="F46" s="8"/>
      <c r="G46" s="20">
        <f>MIN(B46:F46)</f>
        <v>0</v>
      </c>
      <c r="H46" s="20">
        <f>MAX(B46:F46)</f>
        <v>0</v>
      </c>
      <c r="I46" s="20" t="e">
        <f>AVERAGE(B46:F46)</f>
        <v>#DIV/0!</v>
      </c>
      <c r="J46" s="20" t="e">
        <f>_xlfn.STDEV.S(B46:F46)</f>
        <v>#DIV/0!</v>
      </c>
      <c r="K46" s="21"/>
      <c r="L46" s="21"/>
      <c r="M46" s="21"/>
      <c r="N46" s="21"/>
      <c r="O46" s="21"/>
    </row>
    <row r="47" spans="1:15">
      <c r="A47" s="19" t="s">
        <v>27</v>
      </c>
      <c r="B47" s="18"/>
      <c r="C47" s="18"/>
      <c r="D47" s="18"/>
      <c r="E47" s="18"/>
      <c r="F47" s="18"/>
      <c r="G47" s="19"/>
      <c r="H47" s="19"/>
      <c r="I47" s="19"/>
      <c r="J47" s="19"/>
      <c r="K47" s="18"/>
      <c r="L47" s="18"/>
      <c r="M47" s="18"/>
      <c r="N47" s="18"/>
      <c r="O47" s="18"/>
    </row>
    <row r="48" spans="1:15">
      <c r="A48" s="7" t="s">
        <v>25</v>
      </c>
      <c r="B48" s="8"/>
      <c r="C48" s="8"/>
      <c r="D48" s="8"/>
      <c r="E48" s="8"/>
      <c r="F48" s="8"/>
      <c r="G48" s="20">
        <f>MIN(B48:F48)</f>
        <v>0</v>
      </c>
      <c r="H48" s="20">
        <f>MAX(B48:F48)</f>
        <v>0</v>
      </c>
      <c r="I48" s="20" t="e">
        <f>AVERAGE(B48:F48)</f>
        <v>#DIV/0!</v>
      </c>
      <c r="J48" s="20" t="e">
        <f>_xlfn.STDEV.S(B48:F48)</f>
        <v>#DIV/0!</v>
      </c>
      <c r="K48" s="21"/>
      <c r="L48" s="21"/>
      <c r="M48" s="21"/>
      <c r="N48" s="21"/>
      <c r="O48" s="21"/>
    </row>
    <row r="49" spans="1:17">
      <c r="A49" s="7" t="s">
        <v>26</v>
      </c>
      <c r="B49" s="8"/>
      <c r="C49" s="8"/>
      <c r="D49" s="8"/>
      <c r="E49" s="8"/>
      <c r="F49" s="8"/>
      <c r="G49" s="20">
        <f>MIN(B49:F49)</f>
        <v>0</v>
      </c>
      <c r="H49" s="20">
        <f>MAX(B49:F49)</f>
        <v>0</v>
      </c>
      <c r="I49" s="20" t="e">
        <f>AVERAGE(B49:F49)</f>
        <v>#DIV/0!</v>
      </c>
      <c r="J49" s="20" t="e">
        <f>_xlfn.STDEV.S(B49:F49)</f>
        <v>#DIV/0!</v>
      </c>
      <c r="K49" s="21"/>
      <c r="L49" s="21"/>
      <c r="M49" s="21"/>
      <c r="N49" s="21"/>
      <c r="O49" s="21"/>
    </row>
    <row r="50" spans="1:17">
      <c r="A50" s="19" t="s">
        <v>28</v>
      </c>
      <c r="B50" s="18"/>
      <c r="C50" s="18"/>
      <c r="D50" s="18"/>
      <c r="E50" s="18"/>
      <c r="F50" s="18"/>
      <c r="G50" s="19"/>
      <c r="H50" s="19"/>
      <c r="I50" s="19"/>
      <c r="J50" s="19"/>
      <c r="K50" s="18"/>
      <c r="L50" s="18"/>
      <c r="M50" s="18"/>
      <c r="N50" s="18"/>
      <c r="O50" s="18"/>
    </row>
    <row r="51" spans="1:17">
      <c r="A51" s="7" t="s">
        <v>25</v>
      </c>
      <c r="B51" s="8"/>
      <c r="C51" s="8"/>
      <c r="D51" s="8"/>
      <c r="E51" s="8"/>
      <c r="F51" s="8"/>
      <c r="G51" s="20">
        <f>MIN(B51:F51)</f>
        <v>0</v>
      </c>
      <c r="H51" s="20">
        <f>MAX(B51:F51)</f>
        <v>0</v>
      </c>
      <c r="I51" s="20" t="e">
        <f>AVERAGE(B51:F51)</f>
        <v>#DIV/0!</v>
      </c>
      <c r="J51" s="20" t="e">
        <f>_xlfn.STDEV.S(B51:F51)</f>
        <v>#DIV/0!</v>
      </c>
      <c r="K51" s="21"/>
      <c r="L51" s="21"/>
      <c r="M51" s="21"/>
      <c r="N51" s="21"/>
      <c r="O51" s="21"/>
    </row>
    <row r="52" spans="1:17">
      <c r="A52" s="7" t="s">
        <v>26</v>
      </c>
      <c r="B52" s="8"/>
      <c r="C52" s="8"/>
      <c r="D52" s="8"/>
      <c r="E52" s="8"/>
      <c r="F52" s="8"/>
      <c r="G52" s="20">
        <f>MIN(B52:F52)</f>
        <v>0</v>
      </c>
      <c r="H52" s="20">
        <f>MAX(B52:F52)</f>
        <v>0</v>
      </c>
      <c r="I52" s="20" t="e">
        <f>AVERAGE(B52:F52)</f>
        <v>#DIV/0!</v>
      </c>
      <c r="J52" s="20" t="e">
        <f>_xlfn.STDEV.S(B52:F52)</f>
        <v>#DIV/0!</v>
      </c>
      <c r="K52" s="21"/>
      <c r="L52" s="21"/>
      <c r="M52" s="21"/>
      <c r="N52" s="21"/>
      <c r="O52" s="21"/>
    </row>
    <row r="55" spans="1:17">
      <c r="A55" s="2" t="s">
        <v>1</v>
      </c>
      <c r="B55" s="1" t="s">
        <v>33</v>
      </c>
      <c r="D55" t="s">
        <v>34</v>
      </c>
      <c r="L55" s="2"/>
    </row>
    <row r="56" spans="1:17" ht="15.75">
      <c r="D56" t="s">
        <v>35</v>
      </c>
      <c r="F56" t="s">
        <v>36</v>
      </c>
      <c r="K56" s="26"/>
      <c r="L56" s="26"/>
      <c r="M56" s="27" t="s">
        <v>7</v>
      </c>
      <c r="N56" s="26"/>
      <c r="O56" s="26"/>
    </row>
    <row r="57" spans="1:17" ht="18.75">
      <c r="A57" s="3" t="s">
        <v>8</v>
      </c>
      <c r="B57" s="4" t="s">
        <v>9</v>
      </c>
      <c r="C57" s="4" t="s">
        <v>10</v>
      </c>
      <c r="D57" s="4" t="s">
        <v>11</v>
      </c>
      <c r="E57" s="4" t="s">
        <v>12</v>
      </c>
      <c r="F57" s="4" t="s">
        <v>13</v>
      </c>
      <c r="G57" s="4" t="s">
        <v>14</v>
      </c>
      <c r="H57" s="4" t="s">
        <v>15</v>
      </c>
      <c r="I57" s="4" t="s">
        <v>16</v>
      </c>
      <c r="J57" s="4" t="s">
        <v>17</v>
      </c>
      <c r="K57" s="4" t="s">
        <v>18</v>
      </c>
      <c r="L57" s="4" t="s">
        <v>19</v>
      </c>
      <c r="M57" s="4" t="s">
        <v>20</v>
      </c>
      <c r="N57" s="4" t="s">
        <v>21</v>
      </c>
      <c r="O57" s="4" t="s">
        <v>22</v>
      </c>
    </row>
    <row r="58" spans="1:17">
      <c r="A58" s="19" t="s">
        <v>24</v>
      </c>
      <c r="B58" s="18"/>
      <c r="C58" s="18"/>
      <c r="D58" s="18"/>
      <c r="E58" s="18"/>
      <c r="F58" s="18"/>
      <c r="G58" s="19"/>
      <c r="H58" s="19"/>
      <c r="I58" s="19"/>
      <c r="J58" s="19"/>
      <c r="K58" s="18"/>
      <c r="L58" s="18"/>
      <c r="M58" s="18"/>
      <c r="N58" s="18"/>
      <c r="O58" s="18"/>
    </row>
    <row r="59" spans="1:17">
      <c r="A59" s="7" t="s">
        <v>25</v>
      </c>
      <c r="B59" s="8">
        <v>489.17</v>
      </c>
      <c r="C59" s="8">
        <v>481.48</v>
      </c>
      <c r="D59" s="8">
        <v>495.5</v>
      </c>
      <c r="E59" s="8">
        <v>496.33</v>
      </c>
      <c r="F59" s="8">
        <v>485.82</v>
      </c>
      <c r="G59" s="20">
        <f>MIN(B59:F59)</f>
        <v>481.48</v>
      </c>
      <c r="H59" s="20">
        <f>MAX(B59:F59)</f>
        <v>496.33</v>
      </c>
      <c r="I59" s="20">
        <f>AVERAGE(B59:F59)</f>
        <v>489.66</v>
      </c>
      <c r="J59" s="20">
        <f>_xlfn.STDEV.S(B59:F59)</f>
        <v>6.3342837006247112</v>
      </c>
      <c r="K59" s="21"/>
      <c r="L59" s="21"/>
      <c r="M59" s="21"/>
      <c r="N59" s="21"/>
      <c r="O59" s="21"/>
      <c r="P59" t="s">
        <v>37</v>
      </c>
      <c r="Q59">
        <v>400</v>
      </c>
    </row>
    <row r="60" spans="1:17">
      <c r="A60" s="7" t="s">
        <v>26</v>
      </c>
      <c r="B60" s="8">
        <v>504.89</v>
      </c>
      <c r="C60" s="8">
        <v>505.42</v>
      </c>
      <c r="D60" s="8">
        <v>505.84</v>
      </c>
      <c r="E60" s="8">
        <v>509.14</v>
      </c>
      <c r="F60" s="8">
        <v>505.64</v>
      </c>
      <c r="G60" s="20">
        <f>MIN(B60:F60)</f>
        <v>504.89</v>
      </c>
      <c r="H60" s="20">
        <f>MAX(B60:F60)</f>
        <v>509.14</v>
      </c>
      <c r="I60" s="20">
        <f>AVERAGE(B60:F60)</f>
        <v>506.18599999999998</v>
      </c>
      <c r="J60" s="20">
        <f>_xlfn.STDEV.S(B60:F60)</f>
        <v>1.6889582588092549</v>
      </c>
      <c r="K60" s="21"/>
      <c r="L60" s="21"/>
      <c r="M60" s="21"/>
      <c r="N60" s="21"/>
      <c r="O60" s="21"/>
    </row>
    <row r="61" spans="1:17">
      <c r="A61" s="19" t="s">
        <v>27</v>
      </c>
      <c r="B61" s="18"/>
      <c r="C61" s="18"/>
      <c r="D61" s="18"/>
      <c r="E61" s="18"/>
      <c r="F61" s="18"/>
      <c r="G61" s="19"/>
      <c r="H61" s="19"/>
      <c r="I61" s="19"/>
      <c r="J61" s="19"/>
      <c r="K61" s="18"/>
      <c r="L61" s="18"/>
      <c r="M61" s="18"/>
      <c r="N61" s="18"/>
      <c r="O61" s="18"/>
    </row>
    <row r="62" spans="1:17">
      <c r="A62" s="7" t="s">
        <v>25</v>
      </c>
      <c r="B62" s="8">
        <v>6939</v>
      </c>
      <c r="C62" s="8">
        <v>6878</v>
      </c>
      <c r="D62" s="8">
        <v>6952</v>
      </c>
      <c r="E62" s="8">
        <v>7056</v>
      </c>
      <c r="F62" s="8">
        <v>6913</v>
      </c>
      <c r="G62" s="20">
        <f>MIN(B62:F62)</f>
        <v>6878</v>
      </c>
      <c r="H62" s="20">
        <f>MAX(B62:F62)</f>
        <v>7056</v>
      </c>
      <c r="I62" s="20">
        <f>AVERAGE(B62:F62)</f>
        <v>6947.6</v>
      </c>
      <c r="J62" s="20">
        <f>_xlfn.STDEV.S(B62:F62)</f>
        <v>66.867779984085018</v>
      </c>
      <c r="K62" s="21"/>
      <c r="L62" s="21"/>
      <c r="M62" s="21"/>
      <c r="N62" s="21"/>
      <c r="O62" s="21"/>
      <c r="P62" t="s">
        <v>37</v>
      </c>
      <c r="Q62">
        <v>900</v>
      </c>
    </row>
    <row r="63" spans="1:17">
      <c r="A63" s="7" t="s">
        <v>26</v>
      </c>
      <c r="B63" s="8">
        <v>9902</v>
      </c>
      <c r="C63" s="8">
        <v>9828</v>
      </c>
      <c r="D63" s="8">
        <v>9868</v>
      </c>
      <c r="E63" s="8">
        <v>9882</v>
      </c>
      <c r="F63" s="8">
        <v>9766</v>
      </c>
      <c r="G63" s="20">
        <f>MIN(B63:F63)</f>
        <v>9766</v>
      </c>
      <c r="H63" s="20">
        <f>MAX(B63:F63)</f>
        <v>9902</v>
      </c>
      <c r="I63" s="20">
        <f>AVERAGE(B63:F63)</f>
        <v>9849.2000000000007</v>
      </c>
      <c r="J63" s="20">
        <f>_xlfn.STDEV.S(B63:F63)</f>
        <v>53.82564444574723</v>
      </c>
      <c r="K63" s="21"/>
      <c r="L63" s="21"/>
      <c r="M63" s="21"/>
      <c r="N63" s="21"/>
      <c r="O63" s="21"/>
    </row>
    <row r="64" spans="1:17">
      <c r="A64" s="19" t="s">
        <v>28</v>
      </c>
      <c r="B64" s="18"/>
      <c r="C64" s="18"/>
      <c r="D64" s="18"/>
      <c r="E64" s="18"/>
      <c r="F64" s="18"/>
      <c r="G64" s="19"/>
      <c r="H64" s="19"/>
      <c r="I64" s="19"/>
      <c r="J64" s="19"/>
      <c r="K64" s="18"/>
      <c r="L64" s="18"/>
      <c r="M64" s="18"/>
      <c r="N64" s="18"/>
      <c r="O64" s="18"/>
    </row>
    <row r="65" spans="1:15">
      <c r="A65" s="7" t="s">
        <v>25</v>
      </c>
      <c r="B65" s="8"/>
      <c r="C65" s="8"/>
      <c r="D65" s="8"/>
      <c r="E65" s="8"/>
      <c r="F65" s="8"/>
      <c r="G65" s="20">
        <f>MIN(B65:F65)</f>
        <v>0</v>
      </c>
      <c r="H65" s="20">
        <f>MAX(B65:F65)</f>
        <v>0</v>
      </c>
      <c r="I65" s="20" t="e">
        <f>AVERAGE(B65:F65)</f>
        <v>#DIV/0!</v>
      </c>
      <c r="J65" s="20" t="e">
        <f>_xlfn.STDEV.S(B65:F65)</f>
        <v>#DIV/0!</v>
      </c>
      <c r="K65" s="21"/>
      <c r="L65" s="21"/>
      <c r="M65" s="21"/>
      <c r="N65" s="21"/>
      <c r="O65" s="21"/>
    </row>
    <row r="66" spans="1:15">
      <c r="A66" s="7" t="s">
        <v>26</v>
      </c>
      <c r="B66" s="8"/>
      <c r="C66" s="8"/>
      <c r="D66" s="8"/>
      <c r="E66" s="8"/>
      <c r="F66" s="8"/>
      <c r="G66" s="20">
        <f>MIN(B66:F66)</f>
        <v>0</v>
      </c>
      <c r="H66" s="20">
        <f>MAX(B66:F66)</f>
        <v>0</v>
      </c>
      <c r="I66" s="20" t="e">
        <f>AVERAGE(B66:F66)</f>
        <v>#DIV/0!</v>
      </c>
      <c r="J66" s="20" t="e">
        <f>_xlfn.STDEV.S(B66:F66)</f>
        <v>#DIV/0!</v>
      </c>
      <c r="K66" s="21"/>
      <c r="L66" s="21"/>
      <c r="M66" s="21"/>
      <c r="N66" s="21"/>
      <c r="O66" s="21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2026-09-09T17:18:24Z</dcterms:created>
  <dcterms:modified xsi:type="dcterms:W3CDTF">2026-09-21T17:17:40Z</dcterms:modified>
  <cp:category/>
  <cp:contentStatus/>
</cp:coreProperties>
</file>